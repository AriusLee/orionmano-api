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Inputs" sheetId="3" state="visible" r:id="rId5"/>
    <sheet name="Historical FS" sheetId="4" state="visible" r:id="rId6"/>
    <sheet name="Projections" sheetId="5" state="visible" r:id="rId7"/>
    <sheet name="DCF" sheetId="6" state="visible" r:id="rId8"/>
    <sheet name="DCF (Independent)" sheetId="7" state="visible" r:id="rId9"/>
    <sheet name="Comps" sheetId="8" state="visible" r:id="rId10"/>
    <sheet name="Football Field" sheetId="9" state="visible" r:id="rId11"/>
    <sheet name="WACC" sheetId="10" state="visible" r:id="rId12"/>
    <sheet name="CoCo Selection" sheetId="11" state="visible" r:id="rId13"/>
    <sheet name="CoCo Multiples" sheetId="12" state="visible" r:id="rId14"/>
    <sheet name="CoCo Margins" sheetId="13" state="visible" r:id="rId15"/>
    <sheet name="CoCo Ratios" sheetId="14" state="visible" r:id="rId16"/>
    <sheet name="CIQ Data Timeline" sheetId="15" state="visible" r:id="rId17"/>
    <sheet name="Country ERP" sheetId="16" state="visible" r:id="rId18"/>
    <sheet name="Industry Averages" sheetId="17" state="visible" r:id="rId19"/>
    <sheet name="Adjustments" sheetId="18" state="visible" r:id="rId20"/>
    <sheet name="Sensitivity" sheetId="19" state="visible" r:id="rId21"/>
    <sheet name="Valuation Summary" sheetId="20" state="visible" r:id="rId22"/>
    <sheet name="_dropdowns" sheetId="21" state="hidden" r:id="rId23"/>
    <sheet name="_meta" sheetId="22" state="hidden" r:id="rId24"/>
  </sheets>
  <definedNames>
    <definedName function="false" hidden="false" name="accounting_standard" vbProcedure="false">Inputs!$D$12</definedName>
    <definedName function="false" hidden="false" name="aftertax_cost_of_debt_indep" vbProcedure="false">Inputs!$E$98</definedName>
    <definedName function="false" hidden="false" name="aftertax_cost_of_debt_per_mgmt" vbProcedure="false">Inputs!$D$98</definedName>
    <definedName function="false" hidden="false" name="capex_pct_revenue_y1" vbProcedure="false">Inputs!$D$63</definedName>
    <definedName function="false" hidden="false" name="capex_pct_revenue_y2" vbProcedure="false">Inputs!$D$64</definedName>
    <definedName function="false" hidden="false" name="capex_pct_revenue_y3" vbProcedure="false">Inputs!$D$65</definedName>
    <definedName function="false" hidden="false" name="capex_pct_revenue_y4" vbProcedure="false">Inputs!$D$66</definedName>
    <definedName function="false" hidden="false" name="capex_pct_revenue_y5" vbProcedure="false">Inputs!$D$67</definedName>
    <definedName function="false" hidden="false" name="capitalize_rd" vbProcedure="false">Inputs!$D$116</definedName>
    <definedName function="false" hidden="false" name="client_name" vbProcedure="false">Inputs!$D$16</definedName>
    <definedName function="false" hidden="false" name="cocos_table" vbProcedure="false">Inputs!$A$140:$L$169</definedName>
    <definedName function="false" hidden="false" name="company_country" vbProcedure="false">Inputs!$D$8</definedName>
    <definedName function="false" hidden="false" name="company_industry_global" vbProcedure="false">Inputs!$D$10</definedName>
    <definedName function="false" hidden="false" name="company_industry_us" vbProcedure="false">Inputs!$D$9</definedName>
    <definedName function="false" hidden="false" name="company_name" vbProcedure="false">Inputs!$D$7</definedName>
    <definedName function="false" hidden="false" name="convert_operating_leases" vbProcedure="false">Inputs!$D$118</definedName>
    <definedName function="false" hidden="false" name="cost_of_equity_indep" vbProcedure="false">Inputs!$E$96</definedName>
    <definedName function="false" hidden="false" name="cost_of_equity_per_mgmt" vbProcedure="false">Inputs!$D$96</definedName>
    <definedName function="false" hidden="false" name="country_risk_premium" vbProcedure="false">Inputs!$D$90</definedName>
    <definedName function="false" hidden="false" name="currency" vbProcedure="false">Inputs!$D$19</definedName>
    <definedName function="false" hidden="false" name="currency_alt" vbProcedure="false">Inputs!$D$21</definedName>
    <definedName function="false" hidden="false" name="dep_pct_revenue_y1" vbProcedure="false">Inputs!$D$68</definedName>
    <definedName function="false" hidden="false" name="dep_pct_revenue_y2" vbProcedure="false">Inputs!$D$69</definedName>
    <definedName function="false" hidden="false" name="dep_pct_revenue_y3" vbProcedure="false">Inputs!$D$70</definedName>
    <definedName function="false" hidden="false" name="dep_pct_revenue_y4" vbProcedure="false">Inputs!$D$71</definedName>
    <definedName function="false" hidden="false" name="dep_pct_revenue_y5" vbProcedure="false">Inputs!$D$72</definedName>
    <definedName function="false" hidden="false" name="dloc_pct" vbProcedure="false">Inputs!$D$109</definedName>
    <definedName function="false" hidden="false" name="dlom_pct" vbProcedure="false">Inputs!$D$108</definedName>
    <definedName function="false" hidden="false" name="ebitda_y0" vbProcedure="false">Inputs!$D$39</definedName>
    <definedName function="false" hidden="false" name="ebit_y0" vbProcedure="false">Inputs!$D$40</definedName>
    <definedName function="false" hidden="false" name="engagement_department" vbProcedure="false">Inputs!$D$15</definedName>
    <definedName function="false" hidden="false" name="engagement_team_manager" vbProcedure="false">Inputs!$D$14</definedName>
    <definedName function="false" hidden="false" name="engagement_team_partner" vbProcedure="false">Inputs!$D$13</definedName>
    <definedName function="false" hidden="false" name="equity_interest_pct" vbProcedure="false">Inputs!$D$110</definedName>
    <definedName function="false" hidden="false" name="equity_risk_premium" vbProcedure="false">Inputs!$D$89</definedName>
    <definedName function="false" hidden="false" name="fx_rate_alt" vbProcedure="false">Inputs!$D$22</definedName>
    <definedName function="false" hidden="false" name="gross_margin_y1" vbProcedure="false">Inputs!$D$53</definedName>
    <definedName function="false" hidden="false" name="gross_margin_y2" vbProcedure="false">Inputs!$D$54</definedName>
    <definedName function="false" hidden="false" name="gross_margin_y3" vbProcedure="false">Inputs!$D$55</definedName>
    <definedName function="false" hidden="false" name="gross_margin_y4" vbProcedure="false">Inputs!$D$56</definedName>
    <definedName function="false" hidden="false" name="gross_margin_y5" vbProcedure="false">Inputs!$D$57</definedName>
    <definedName function="false" hidden="false" name="gross_profit_y0" vbProcedure="false">Inputs!$D$37</definedName>
    <definedName function="false" hidden="false" name="lease_discount_rate" vbProcedure="false">Inputs!$D$119</definedName>
    <definedName function="false" hidden="false" name="levered_beta_indep" vbProcedure="false">Inputs!$E$93</definedName>
    <definedName function="false" hidden="false" name="levered_beta_per_mgmt" vbProcedure="false">Inputs!$D$93</definedName>
    <definedName function="false" hidden="false" name="minority_interests" vbProcedure="false">Inputs!$D$106</definedName>
    <definedName function="false" hidden="false" name="net_debt_override" vbProcedure="false">Inputs!$D$105</definedName>
    <definedName function="false" hidden="false" name="net_income_y0" vbProcedure="false">Inputs!$D$42</definedName>
    <definedName function="false" hidden="false" name="non_operating_assets" vbProcedure="false">Inputs!$D$107</definedName>
    <definedName function="false" hidden="false" name="nwc_pct_sales_y1" vbProcedure="false">Inputs!$D$73</definedName>
    <definedName function="false" hidden="false" name="nwc_pct_sales_y2" vbProcedure="false">Inputs!$D$74</definedName>
    <definedName function="false" hidden="false" name="nwc_pct_sales_y3" vbProcedure="false">Inputs!$D$75</definedName>
    <definedName function="false" hidden="false" name="nwc_pct_sales_y4" vbProcedure="false">Inputs!$D$76</definedName>
    <definedName function="false" hidden="false" name="nwc_pct_sales_y5" vbProcedure="false">Inputs!$D$77</definedName>
    <definedName function="false" hidden="false" name="nwc_y0" vbProcedure="false">Inputs!$D$36</definedName>
    <definedName function="false" hidden="false" name="opex_pct_revenue_y1" vbProcedure="false">Inputs!$D$58</definedName>
    <definedName function="false" hidden="false" name="opex_pct_revenue_y2" vbProcedure="false">Inputs!$D$59</definedName>
    <definedName function="false" hidden="false" name="opex_pct_revenue_y3" vbProcedure="false">Inputs!$D$60</definedName>
    <definedName function="false" hidden="false" name="opex_pct_revenue_y4" vbProcedure="false">Inputs!$D$61</definedName>
    <definedName function="false" hidden="false" name="opex_pct_revenue_y5" vbProcedure="false">Inputs!$D$62</definedName>
    <definedName function="false" hidden="false" name="opex_y0" vbProcedure="false">Inputs!$D$38</definedName>
    <definedName function="false" hidden="false" name="precedents_table" vbProcedure="false">Inputs!$A$173:$I$187</definedName>
    <definedName function="false" hidden="false" name="pretax_cost_of_debt_indep" vbProcedure="false">Inputs!$E$97</definedName>
    <definedName function="false" hidden="false" name="pretax_cost_of_debt_per_mgmt" vbProcedure="false">Inputs!$D$97</definedName>
    <definedName function="false" hidden="false" name="pre_money_pct" vbProcedure="false">Inputs!$D$113</definedName>
    <definedName function="false" hidden="false" name="projection_years" vbProcedure="false">Inputs!$D$33</definedName>
    <definedName function="false" hidden="false" name="rd_amortization_years" vbProcedure="false">Inputs!$D$117</definedName>
    <definedName function="false" hidden="false" name="report_purpose" vbProcedure="false">Inputs!$D$11</definedName>
    <definedName function="false" hidden="false" name="revenue_growth_method" vbProcedure="false">Inputs!$D$34</definedName>
    <definedName function="false" hidden="false" name="revenue_growth_primary_y1" vbProcedure="false">Inputs!$D$48</definedName>
    <definedName function="false" hidden="false" name="revenue_growth_primary_y2" vbProcedure="false">Inputs!$D$49</definedName>
    <definedName function="false" hidden="false" name="revenue_growth_primary_y3" vbProcedure="false">Inputs!$D$50</definedName>
    <definedName function="false" hidden="false" name="revenue_growth_primary_y4" vbProcedure="false">Inputs!$D$51</definedName>
    <definedName function="false" hidden="false" name="revenue_growth_primary_y5" vbProcedure="false">Inputs!$D$52</definedName>
    <definedName function="false" hidden="false" name="revenue_growth_y1" vbProcedure="false">Inputs!$D$43</definedName>
    <definedName function="false" hidden="false" name="revenue_growth_y2" vbProcedure="false">Inputs!$D$44</definedName>
    <definedName function="false" hidden="false" name="revenue_growth_y3" vbProcedure="false">Inputs!$D$45</definedName>
    <definedName function="false" hidden="false" name="revenue_growth_y4" vbProcedure="false">Inputs!$D$46</definedName>
    <definedName function="false" hidden="false" name="revenue_growth_y5" vbProcedure="false">Inputs!$D$47</definedName>
    <definedName function="false" hidden="false" name="revenue_y0" vbProcedure="false">Inputs!$D$35</definedName>
    <definedName function="false" hidden="false" name="risk_free_rate" vbProcedure="false">Inputs!$D$87</definedName>
    <definedName function="false" hidden="false" name="risk_free_rate_source" vbProcedure="false">Inputs!$D$88</definedName>
    <definedName function="false" hidden="false" name="segments_table" vbProcedure="false">Inputs!$A$192:$U$199</definedName>
    <definedName function="false" hidden="false" name="selected_high" vbProcedure="false">Inputs!$D$128</definedName>
    <definedName function="false" hidden="false" name="selected_low" vbProcedure="false">Inputs!$D$126</definedName>
    <definedName function="false" hidden="false" name="selected_mid" vbProcedure="false">Inputs!$D$127</definedName>
    <definedName function="false" hidden="false" name="sens_ebitda_margin_step" vbProcedure="false">Inputs!$D$136</definedName>
    <definedName function="false" hidden="false" name="sens_revenue_g_step" vbProcedure="false">Inputs!$D$135</definedName>
    <definedName function="false" hidden="false" name="sens_terminal_g_count" vbProcedure="false">Inputs!$D$134</definedName>
    <definedName function="false" hidden="false" name="sens_terminal_g_step" vbProcedure="false">Inputs!$D$133</definedName>
    <definedName function="false" hidden="false" name="sens_wacc_count" vbProcedure="false">Inputs!$D$132</definedName>
    <definedName function="false" hidden="false" name="sens_wacc_step" vbProcedure="false">Inputs!$D$131</definedName>
    <definedName function="false" hidden="false" name="shares_outstanding" vbProcedure="false">Inputs!$D$111</definedName>
    <definedName function="false" hidden="false" name="shares_outstanding_diluted" vbProcedure="false">Inputs!$D$112</definedName>
    <definedName function="false" hidden="false" name="size_premium_indep" vbProcedure="false">Inputs!$E$94</definedName>
    <definedName function="false" hidden="false" name="size_premium_per_mgmt" vbProcedure="false">Inputs!$D$94</definedName>
    <definedName function="false" hidden="false" name="specific_risk_premium_indep" vbProcedure="false">Inputs!$E$95</definedName>
    <definedName function="false" hidden="false" name="specific_risk_premium_per_mgmt" vbProcedure="false">Inputs!$D$95</definedName>
    <definedName function="false" hidden="false" name="surplus_assets" vbProcedure="false">Inputs!$D$104</definedName>
    <definedName function="false" hidden="false" name="target_debt_to_equity_indep" vbProcedure="false">Inputs!$E$92</definedName>
    <definedName function="false" hidden="false" name="target_debt_to_equity_per_mgmt" vbProcedure="false">Inputs!$D$92</definedName>
    <definedName function="false" hidden="false" name="target_debt_weight_indep" vbProcedure="false">Inputs!$E$99</definedName>
    <definedName function="false" hidden="false" name="target_debt_weight_per_mgmt" vbProcedure="false">Inputs!$D$99</definedName>
    <definedName function="false" hidden="false" name="target_equity_weight_indep" vbProcedure="false">Inputs!$E$100</definedName>
    <definedName function="false" hidden="false" name="target_equity_weight_per_mgmt" vbProcedure="false">Inputs!$D$100</definedName>
    <definedName function="false" hidden="false" name="tax_effective_rate" vbProcedure="false">Inputs!$D$30</definedName>
    <definedName function="false" hidden="false" name="tax_jurisdiction" vbProcedure="false">Inputs!$D$25</definedName>
    <definedName function="false" hidden="false" name="tax_rate_high" vbProcedure="false">Inputs!$D$28</definedName>
    <definedName function="false" hidden="false" name="tax_rate_low" vbProcedure="false">Inputs!$D$27</definedName>
    <definedName function="false" hidden="false" name="tax_threshold" vbProcedure="false">Inputs!$D$29</definedName>
    <definedName function="false" hidden="false" name="tax_type" vbProcedure="false">Inputs!$D$26</definedName>
    <definedName function="false" hidden="false" name="tax_y0" vbProcedure="false">Inputs!$D$41</definedName>
    <definedName function="false" hidden="false" name="terminal_exit_multiple_type" vbProcedure="false">Inputs!$D$82</definedName>
    <definedName function="false" hidden="false" name="terminal_exit_multiple_value" vbProcedure="false">Inputs!$D$83</definedName>
    <definedName function="false" hidden="false" name="terminal_growth_rate" vbProcedure="false">Inputs!$D$81</definedName>
    <definedName function="false" hidden="false" name="terminal_method" vbProcedure="false">Inputs!$D$80</definedName>
    <definedName function="false" hidden="false" name="terminal_nominal_gdp_growth" vbProcedure="false">Inputs!$D$84</definedName>
    <definedName function="false" hidden="false" name="unit" vbProcedure="false">Inputs!$D$20</definedName>
    <definedName function="false" hidden="false" name="unlevered_beta_indep" vbProcedure="false">Inputs!$E$91</definedName>
    <definedName function="false" hidden="false" name="unlevered_beta_per_mgmt" vbProcedure="false">Inputs!$D$91</definedName>
    <definedName function="false" hidden="false" name="wacc_indep" vbProcedure="false">Inputs!$E$101</definedName>
    <definedName function="false" hidden="false" name="wacc_per_mgmt" vbProcedure="false">Inputs!$D$101</definedName>
    <definedName function="false" hidden="false" name="weight_comps" vbProcedure="false">Inputs!$D$123</definedName>
    <definedName function="false" hidden="false" name="weight_dcf" vbProcedure="false">Inputs!$D$122</definedName>
    <definedName function="false" hidden="false" name="weight_nav" vbProcedure="false">Inputs!$D$125</definedName>
    <definedName function="false" hidden="false" name="weight_precedent" vbProcedure="false">Inputs!$D$124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<sst xmlns="http://schemas.openxmlformats.org/spreadsheetml/2006/main" count="1446" uniqueCount="962">
  <si>
    <t xml:space="preserve">Valuation Workpaper — Cover &amp; User Guide</t>
  </si>
  <si>
    <t xml:space="preserve">Auto-generated by the Orionmano valuation pipeline. Read this sheet first. Every figure on every downstream tab is driven by a named range on the Inputs sheet.</t>
  </si>
  <si>
    <t xml:space="preserve">Engagement metadata</t>
  </si>
  <si>
    <t xml:space="preserve">Company</t>
  </si>
  <si>
    <t xml:space="preserve">Country of incorporation</t>
  </si>
  <si>
    <t xml:space="preserve">Industry (US)</t>
  </si>
  <si>
    <t xml:space="preserve">Industry (Global)</t>
  </si>
  <si>
    <t xml:space="preserve">Report purpose</t>
  </si>
  <si>
    <t xml:space="preserve">Accounting standard</t>
  </si>
  <si>
    <t xml:space="preserve">Client (engaging party)</t>
  </si>
  <si>
    <t xml:space="preserve">Engagement partner</t>
  </si>
  <si>
    <t xml:space="preserve">Engagement manager</t>
  </si>
  <si>
    <t xml:space="preserve">Department</t>
  </si>
  <si>
    <t xml:space="preserve">Currency &amp; units</t>
  </si>
  <si>
    <t xml:space="preserve">Reporting currency</t>
  </si>
  <si>
    <t xml:space="preserve">Unit</t>
  </si>
  <si>
    <t xml:space="preserve">Secondary currency</t>
  </si>
  <si>
    <t xml:space="preserve">FX rate to alt</t>
  </si>
  <si>
    <t xml:space="preserve">Note</t>
  </si>
  <si>
    <t xml:space="preserve">All monetary values throughout this workbook are denominated in [currency] [unit] unless explicitly stated otherwise.</t>
  </si>
  <si>
    <t xml:space="preserve">Valuation methodologies &amp; weights</t>
  </si>
  <si>
    <t xml:space="preserve">Methodology</t>
  </si>
  <si>
    <t xml:space="preserve">Weight</t>
  </si>
  <si>
    <t xml:space="preserve">Sheet</t>
  </si>
  <si>
    <t xml:space="preserve">Notes</t>
  </si>
  <si>
    <t xml:space="preserve">Discounted Cash Flow (DCF)</t>
  </si>
  <si>
    <t xml:space="preserve">DCF / DCF (Independent)</t>
  </si>
  <si>
    <t xml:space="preserve">Two-scenario WACC; Gordon-growth or exit-multiple terminal.</t>
  </si>
  <si>
    <t xml:space="preserve">Comparable Companies (CoCo)</t>
  </si>
  <si>
    <t xml:space="preserve">Comps / CoCo Multiples</t>
  </si>
  <si>
    <t xml:space="preserve">Q1/Median/Q3 NTM trading multiples × target metrics.</t>
  </si>
  <si>
    <t xml:space="preserve">Precedent Transactions</t>
  </si>
  <si>
    <t xml:space="preserve">Precedent</t>
  </si>
  <si>
    <t xml:space="preserve">Mean EV/EBITDA × Y1 EBITDA from observed M&amp;A deals.</t>
  </si>
  <si>
    <t xml:space="preserve">Net Asset Value (NAV)</t>
  </si>
  <si>
    <t xml:space="preserve">—</t>
  </si>
  <si>
    <t xml:space="preserve">Asset-based; typically 0% for going-concern targets.</t>
  </si>
  <si>
    <t xml:space="preserve">Total weight</t>
  </si>
  <si>
    <t xml:space="preserve">Must equal 100%</t>
  </si>
  <si>
    <t xml:space="preserve">Sheet index</t>
  </si>
  <si>
    <t xml:space="preserve">#</t>
  </si>
  <si>
    <t xml:space="preserve">Purpose</t>
  </si>
  <si>
    <t xml:space="preserve">1</t>
  </si>
  <si>
    <t xml:space="preserve">README</t>
  </si>
  <si>
    <t xml:space="preserve">Instructions, version, manual-input checklist</t>
  </si>
  <si>
    <t xml:space="preserve">2</t>
  </si>
  <si>
    <t xml:space="preserve">Dashboard</t>
  </si>
  <si>
    <t xml:space="preserve">High-level outputs: EV, Net debt, Surplus, Equity, WACC, terminal g + benchmark charts</t>
  </si>
  <si>
    <t xml:space="preserve">3</t>
  </si>
  <si>
    <t xml:space="preserve">Inputs</t>
  </si>
  <si>
    <t xml:space="preserve">Single source of truth — all driver parameters</t>
  </si>
  <si>
    <t xml:space="preserve">4</t>
  </si>
  <si>
    <t xml:space="preserve">Historical FS</t>
  </si>
  <si>
    <t xml:space="preserve">3-5 yr audited income statement + balance sheet (PBC raw)</t>
  </si>
  <si>
    <t xml:space="preserve">5</t>
  </si>
  <si>
    <t xml:space="preserve">Projections</t>
  </si>
  <si>
    <t xml:space="preserve">Year-by-year forecast lines driven by Inputs</t>
  </si>
  <si>
    <t xml:space="preserve">6</t>
  </si>
  <si>
    <t xml:space="preserve">DCF</t>
  </si>
  <si>
    <t xml:space="preserve">FCFF schedule, partial-year discount, PV, terminal value</t>
  </si>
  <si>
    <t xml:space="preserve">7</t>
  </si>
  <si>
    <t xml:space="preserve">DCF (Independent)</t>
  </si>
  <si>
    <t xml:space="preserve">Parallel scenario with independent WACC range</t>
  </si>
  <si>
    <t xml:space="preserve">8</t>
  </si>
  <si>
    <t xml:space="preserve">Comps</t>
  </si>
  <si>
    <t xml:space="preserve">Apply CoCo multiples to target metrics; implied EV/Sales, EV/EBITDA, P/E</t>
  </si>
  <si>
    <t xml:space="preserve">9</t>
  </si>
  <si>
    <t xml:space="preserve">Football Field</t>
  </si>
  <si>
    <t xml:space="preserve">Valuation range chart per methodology + weighted selected range</t>
  </si>
  <si>
    <t xml:space="preserve">10</t>
  </si>
  <si>
    <t xml:space="preserve">WACC</t>
  </si>
  <si>
    <t xml:space="preserve">Full Ke + Kd build with Per-Mgmt and Independent scenarios</t>
  </si>
  <si>
    <t xml:space="preserve">11</t>
  </si>
  <si>
    <t xml:space="preserve">CoCo Selection</t>
  </si>
  <si>
    <t xml:space="preserve">Comparable company selection with tier flags + market cap</t>
  </si>
  <si>
    <t xml:space="preserve">12</t>
  </si>
  <si>
    <t xml:space="preserve">CoCo Multiples</t>
  </si>
  <si>
    <t xml:space="preserve">EV/Sales, EV/EBITDA, P/E per comparable</t>
  </si>
  <si>
    <t xml:space="preserve">13</t>
  </si>
  <si>
    <t xml:space="preserve">CoCo Margins</t>
  </si>
  <si>
    <t xml:space="preserve">Gross / EBIT / net margin per comparable</t>
  </si>
  <si>
    <t xml:space="preserve">14</t>
  </si>
  <si>
    <t xml:space="preserve">CoCo Ratios</t>
  </si>
  <si>
    <t xml:space="preserve">ROE / ROA / D/E / current ratio per comparable</t>
  </si>
  <si>
    <t xml:space="preserve">15</t>
  </si>
  <si>
    <t xml:space="preserve">CIQ Data Timeline</t>
  </si>
  <si>
    <t xml:space="preserve">Capital IQ data import audit trail FY-4 to FY-1</t>
  </si>
  <si>
    <t xml:space="preserve">16</t>
  </si>
  <si>
    <t xml:space="preserve">Country ERP</t>
  </si>
  <si>
    <t xml:space="preserve">Country risk premium reference table (Damodaran)</t>
  </si>
  <si>
    <t xml:space="preserve">17</t>
  </si>
  <si>
    <t xml:space="preserve">Industry Averages</t>
  </si>
  <si>
    <t xml:space="preserve">Industry-level multiples + margins reference (Damodaran)</t>
  </si>
  <si>
    <t xml:space="preserve">18</t>
  </si>
  <si>
    <t xml:space="preserve">Adjustments</t>
  </si>
  <si>
    <t xml:space="preserve">EV -&gt; Equity bridge: net debt, surplus, DLOM, DLOC application</t>
  </si>
  <si>
    <t xml:space="preserve">19</t>
  </si>
  <si>
    <t xml:space="preserve">Sensitivity</t>
  </si>
  <si>
    <t xml:space="preserve">WACC x terminal g; WACC x revenue growth; multiple x metric</t>
  </si>
  <si>
    <t xml:space="preserve">20</t>
  </si>
  <si>
    <t xml:space="preserve">Valuation Summary</t>
  </si>
  <si>
    <t xml:space="preserve">Final EV -&gt; Equity -&gt; Per share with all weighting and adjustments</t>
  </si>
  <si>
    <t xml:space="preserve">Items requiring post-export manual input</t>
  </si>
  <si>
    <t xml:space="preserve">Item</t>
  </si>
  <si>
    <t xml:space="preserve">Cell / range</t>
  </si>
  <si>
    <t xml:space="preserve">Selected football-field band (analyst override)</t>
  </si>
  <si>
    <t xml:space="preserve">Inputs / Football Field</t>
  </si>
  <si>
    <t xml:space="preserve">selected_low / selected_mid / selected_high</t>
  </si>
  <si>
    <t xml:space="preserve">Producer auto-fills initial estimate (±15% around weighted mid). Adjust to your judgment band before finalizing.</t>
  </si>
  <si>
    <t xml:space="preserve">shares_outstanding_diluted</t>
  </si>
  <si>
    <t xml:space="preserve">Required for diluted per-share output. Pull from prospectus / cap table if not auto-filled.</t>
  </si>
  <si>
    <t xml:space="preserve">Coco/Precedent metric values flagged as null</t>
  </si>
  <si>
    <t xml:space="preserve">CoCo Multiples / Margins / Ratios / Precedent</t>
  </si>
  <si>
    <t xml:space="preserve">Cells with INPUT_FILL background</t>
  </si>
  <si>
    <t xml:space="preserve">Producer leaves a metric null when source data is unavailable. Fill from Capital IQ / Bloomberg if you obtain it.</t>
  </si>
  <si>
    <t xml:space="preserve">Engagement team names</t>
  </si>
  <si>
    <t xml:space="preserve">engagement_team_partner / engagement_team_manager</t>
  </si>
  <si>
    <t xml:space="preserve">Defaults to 'TBD' if engagement letter not provided. Replace with actual partner / manager names.</t>
  </si>
  <si>
    <t xml:space="preserve">Reference data — refresh schedule</t>
  </si>
  <si>
    <t xml:space="preserve">Dataset</t>
  </si>
  <si>
    <t xml:space="preserve">Cadence</t>
  </si>
  <si>
    <t xml:space="preserve">Source</t>
  </si>
  <si>
    <t xml:space="preserve">URL / vendor</t>
  </si>
  <si>
    <t xml:space="preserve">Annual</t>
  </si>
  <si>
    <t xml:space="preserve">Damodaran NYU Stern country risk premium</t>
  </si>
  <si>
    <t xml:space="preserve">pages.stern.nyu.edu/~adamodar/</t>
  </si>
  <si>
    <t xml:space="preserve">Damodaran US industry betas / margins / multiples</t>
  </si>
  <si>
    <t xml:space="preserve">Risk-free rate</t>
  </si>
  <si>
    <t xml:space="preserve">Per engagement</t>
  </si>
  <si>
    <t xml:space="preserve">10y UST yield as at valuation date</t>
  </si>
  <si>
    <t xml:space="preserve">Bloomberg / Capital IQ</t>
  </si>
  <si>
    <t xml:space="preserve">ERP</t>
  </si>
  <si>
    <t xml:space="preserve">Implied / historical ERP for mature markets</t>
  </si>
  <si>
    <t xml:space="preserve">Damodaran implied ERP</t>
  </si>
  <si>
    <t xml:space="preserve">Disclaimer &amp; use restriction</t>
  </si>
  <si>
    <t xml:space="preserve">This workpaper has been prepared for the express purpose stated above and for the exclusive use of the engaging party. It must not be reproduced, distributed, or relied upon by any other party without prior written consent. The valuation reflects conditions and information available as at the valuation date; subsequent events are not incorporated. All inputs derive from sources cited in the audit-trail columns of the Inputs sheet — refer to those entries for source documents and assumptions. This is not a fairness opinion, audit, or attestation engagement under PCAOB / AICPA standards unless explicitly designated.</t>
  </si>
  <si>
    <t xml:space="preserve">Valuation Dashboard</t>
  </si>
  <si>
    <t xml:space="preserve">Headline values (Per-Management scenario)</t>
  </si>
  <si>
    <t xml:space="preserve">Enterprise Value</t>
  </si>
  <si>
    <t xml:space="preserve">Equity (after DLOM/DLOC)</t>
  </si>
  <si>
    <t xml:space="preserve">Per share (basic)</t>
  </si>
  <si>
    <t xml:space="preserve">Terminal growth</t>
  </si>
  <si>
    <t xml:space="preserve">Independent scenario</t>
  </si>
  <si>
    <t xml:space="preserve">Methodology range — enterprise value</t>
  </si>
  <si>
    <t xml:space="preserve">Low</t>
  </si>
  <si>
    <t xml:space="preserve">Mid</t>
  </si>
  <si>
    <t xml:space="preserve">High</t>
  </si>
  <si>
    <t xml:space="preserve">Weighted mid</t>
  </si>
  <si>
    <t xml:space="preserve">DCF (across scenarios)</t>
  </si>
  <si>
    <t xml:space="preserve">Per-Mgmt vs Independent WACC.</t>
  </si>
  <si>
    <t xml:space="preserve">Comparable Companies</t>
  </si>
  <si>
    <t xml:space="preserve">Cross-check vs DCF (±10% band).</t>
  </si>
  <si>
    <t xml:space="preserve">Concluded EV (DCF primary)</t>
  </si>
  <si>
    <t xml:space="preserve">Selected band (low / mid / high)</t>
  </si>
  <si>
    <t xml:space="preserve">CoCo trading multiples — benchmark stats</t>
  </si>
  <si>
    <t xml:space="preserve">Multiple</t>
  </si>
  <si>
    <t xml:space="preserve">Min</t>
  </si>
  <si>
    <t xml:space="preserve">Q1</t>
  </si>
  <si>
    <t xml:space="preserve">Median</t>
  </si>
  <si>
    <t xml:space="preserve">Q3</t>
  </si>
  <si>
    <t xml:space="preserve">Max</t>
  </si>
  <si>
    <t xml:space="preserve">Mean</t>
  </si>
  <si>
    <t xml:space="preserve">EV / Sales NTM</t>
  </si>
  <si>
    <t xml:space="preserve">EV / EBITDA NTM</t>
  </si>
  <si>
    <t xml:space="preserve">P / E NTM</t>
  </si>
  <si>
    <t xml:space="preserve">EV / Sales LTM</t>
  </si>
  <si>
    <t xml:space="preserve">EV / EBITDA LTM</t>
  </si>
  <si>
    <t xml:space="preserve">P / E LTM</t>
  </si>
  <si>
    <t xml:space="preserve">Sensitivity — EV (WACC × terminal growth, Per-Mgmt)</t>
  </si>
  <si>
    <t xml:space="preserve">Full grid is on the Sensitivity tab. This panel shows EV at the base case (centre cell) plus ±1 step in each direction.</t>
  </si>
  <si>
    <t xml:space="preserve">WACC ↓ / g →</t>
  </si>
  <si>
    <t xml:space="preserve">g − 1 step</t>
  </si>
  <si>
    <t xml:space="preserve">Base g</t>
  </si>
  <si>
    <t xml:space="preserve">g + 1 step</t>
  </si>
  <si>
    <t xml:space="preserve">WACC − 1 step</t>
  </si>
  <si>
    <t xml:space="preserve">Base WACC</t>
  </si>
  <si>
    <t xml:space="preserve">WACC + 1 step</t>
  </si>
  <si>
    <t xml:space="preserve">Backtesting — historical revenue vs Y0 base</t>
  </si>
  <si>
    <t xml:space="preserve">Sanity check: Y0 base revenue (cascading into Projections) should equal the most-recent FY-1 audited revenue.</t>
  </si>
  <si>
    <t xml:space="preserve">FY-3</t>
  </si>
  <si>
    <t xml:space="preserve">FY-2</t>
  </si>
  <si>
    <t xml:space="preserve">FY-1</t>
  </si>
  <si>
    <t xml:space="preserve">Y0 (Projections)</t>
  </si>
  <si>
    <t xml:space="preserve">Δ Y0 vs FY-1</t>
  </si>
  <si>
    <t xml:space="preserve">Revenue</t>
  </si>
  <si>
    <t xml:space="preserve">EBITDA</t>
  </si>
  <si>
    <t xml:space="preserve">Open the web dashboard (Orionmano · Companies · this entity · Valuation tab) for interactive Football Field, Sensitivity heatmap, FCFF projection, and CoCo multiple charts.</t>
  </si>
  <si>
    <t xml:space="preserve">Inputs — single source of truth for all valuation parameters</t>
  </si>
  <si>
    <t xml:space="preserve">Every parameter below is a named range. Downstream sheets reference these by name, not by cell coordinate. The Source / Source detail / Notes columns record the audit trail.</t>
  </si>
  <si>
    <t xml:space="preserve">id</t>
  </si>
  <si>
    <t xml:space="preserve">Parameter</t>
  </si>
  <si>
    <t xml:space="preserve">Type</t>
  </si>
  <si>
    <t xml:space="preserve">Value (Per Mgmt)</t>
  </si>
  <si>
    <t xml:space="preserve">Value (Independent)</t>
  </si>
  <si>
    <t xml:space="preserve">Source detail</t>
  </si>
  <si>
    <t xml:space="preserve">Section A — Engagement metadata  (Core)</t>
  </si>
  <si>
    <t xml:space="preserve">company_name</t>
  </si>
  <si>
    <t xml:space="preserve">Company name</t>
  </si>
  <si>
    <t xml:space="preserve">text</t>
  </si>
  <si>
    <t xml:space="preserve">Sample TechCo Holdings Limited</t>
  </si>
  <si>
    <t xml:space="preserve">Engagement Letter</t>
  </si>
  <si>
    <t xml:space="preserve">EL dated 2026-03-15</t>
  </si>
  <si>
    <t xml:space="preserve">company_country</t>
  </si>
  <si>
    <t xml:space="preserve">enum</t>
  </si>
  <si>
    <t xml:space="preserve">SG</t>
  </si>
  <si>
    <t xml:space="preserve">company_industry_us</t>
  </si>
  <si>
    <t xml:space="preserve">Industry (US classification)</t>
  </si>
  <si>
    <t xml:space="preserve">Software (Internet)</t>
  </si>
  <si>
    <t xml:space="preserve">company_industry_global</t>
  </si>
  <si>
    <t xml:space="preserve">Industry (Global classification)</t>
  </si>
  <si>
    <t xml:space="preserve">report_purpose</t>
  </si>
  <si>
    <t xml:space="preserve">IPO pricing</t>
  </si>
  <si>
    <t xml:space="preserve">accounting_standard</t>
  </si>
  <si>
    <t xml:space="preserve">IFRS</t>
  </si>
  <si>
    <t xml:space="preserve">engagement_team_partner</t>
  </si>
  <si>
    <t xml:space="preserve">A. Lee</t>
  </si>
  <si>
    <t xml:space="preserve">engagement_team_manager</t>
  </si>
  <si>
    <t xml:space="preserve">T. Wong</t>
  </si>
  <si>
    <t xml:space="preserve">engagement_department</t>
  </si>
  <si>
    <t xml:space="preserve">Valuation Advisory</t>
  </si>
  <si>
    <t xml:space="preserve">client_name</t>
  </si>
  <si>
    <t xml:space="preserve">Section B — Currency &amp; units  (Core)</t>
  </si>
  <si>
    <t xml:space="preserve">currency</t>
  </si>
  <si>
    <t xml:space="preserve">USD</t>
  </si>
  <si>
    <t xml:space="preserve">unit</t>
  </si>
  <si>
    <t xml:space="preserve">Unit of presentation</t>
  </si>
  <si>
    <t xml:space="preserve">'000</t>
  </si>
  <si>
    <t xml:space="preserve">currency_alt</t>
  </si>
  <si>
    <t xml:space="preserve">Secondary display currency (optional)</t>
  </si>
  <si>
    <t xml:space="preserve">fx_rate_alt</t>
  </si>
  <si>
    <t xml:space="preserve">FX rate to alternate currency</t>
  </si>
  <si>
    <t xml:space="preserve">number</t>
  </si>
  <si>
    <t xml:space="preserve">Section C — Tax rule  (Core)</t>
  </si>
  <si>
    <t xml:space="preserve">tax_jurisdiction</t>
  </si>
  <si>
    <t xml:space="preserve">Tax jurisdiction</t>
  </si>
  <si>
    <t xml:space="preserve">tax_type</t>
  </si>
  <si>
    <t xml:space="preserve">Tax structure</t>
  </si>
  <si>
    <t xml:space="preserve">flat</t>
  </si>
  <si>
    <t xml:space="preserve">flat | two_tier | progressive</t>
  </si>
  <si>
    <t xml:space="preserve">tax_rate_low</t>
  </si>
  <si>
    <t xml:space="preserve">Low-tier rate</t>
  </si>
  <si>
    <t xml:space="preserve">percentage</t>
  </si>
  <si>
    <t xml:space="preserve">tax_rate_high</t>
  </si>
  <si>
    <t xml:space="preserve">High-tier rate (or flat rate)</t>
  </si>
  <si>
    <t xml:space="preserve">Manual</t>
  </si>
  <si>
    <t xml:space="preserve">Singapore corporate tax rate 17% flat</t>
  </si>
  <si>
    <t xml:space="preserve">tax_threshold</t>
  </si>
  <si>
    <t xml:space="preserve">Threshold between tiers</t>
  </si>
  <si>
    <t xml:space="preserve">tax_effective_rate</t>
  </si>
  <si>
    <t xml:space="preserve">Effective rate (override)</t>
  </si>
  <si>
    <t xml:space="preserve">Section D — Projection drivers  (Core)</t>
  </si>
  <si>
    <t xml:space="preserve">projection_years</t>
  </si>
  <si>
    <t xml:space="preserve">Explicit forecast years</t>
  </si>
  <si>
    <t xml:space="preserve">revenue_growth_method</t>
  </si>
  <si>
    <t xml:space="preserve">Revenue growth method</t>
  </si>
  <si>
    <t xml:space="preserve">per_year</t>
  </si>
  <si>
    <t xml:space="preserve">flat | declining | staged | per_year</t>
  </si>
  <si>
    <t xml:space="preserve">revenue_y0</t>
  </si>
  <si>
    <t xml:space="preserve">Revenue base (Y0 / LTM)</t>
  </si>
  <si>
    <t xml:space="preserve">Audited FS</t>
  </si>
  <si>
    <t xml:space="preserve">FY2025 Audited FS, Consolidated P&amp;L, p.34</t>
  </si>
  <si>
    <t xml:space="preserve">Last full reported year</t>
  </si>
  <si>
    <t xml:space="preserve">nwc_y0</t>
  </si>
  <si>
    <t xml:space="preserve">Net working capital (Y0)</t>
  </si>
  <si>
    <t xml:space="preserve">FY2025 Audited FS, Balance Sheet, p.36 (current assets ex-cash − current liabilities ex-debt)</t>
  </si>
  <si>
    <t xml:space="preserve">gross_profit_y0</t>
  </si>
  <si>
    <t xml:space="preserve">Gross profit (Y0)</t>
  </si>
  <si>
    <t xml:space="preserve">Audited Y0 gross profit; populates the Projections Y0 gross-profit cell</t>
  </si>
  <si>
    <t xml:space="preserve">opex_y0</t>
  </si>
  <si>
    <t xml:space="preserve">Operating expenses (Y0)</t>
  </si>
  <si>
    <t xml:space="preserve">Audited Y0 opex (negative); populates the Projections Y0 opex cell</t>
  </si>
  <si>
    <t xml:space="preserve">ebitda_y0</t>
  </si>
  <si>
    <t xml:space="preserve">EBITDA (Y0)</t>
  </si>
  <si>
    <t xml:space="preserve">Audited Y0 EBITDA; populates the Projections Y0 EBITDA cell</t>
  </si>
  <si>
    <t xml:space="preserve">ebit_y0</t>
  </si>
  <si>
    <t xml:space="preserve">EBIT (Y0)</t>
  </si>
  <si>
    <t xml:space="preserve">Audited Y0 EBIT; populates the Projections Y0 EBIT cell</t>
  </si>
  <si>
    <t xml:space="preserve">tax_y0</t>
  </si>
  <si>
    <t xml:space="preserve">Tax (Y0)</t>
  </si>
  <si>
    <t xml:space="preserve">Audited Y0 tax expense (negative); populates the Projections Y0 tax cell</t>
  </si>
  <si>
    <t xml:space="preserve">net_income_y0</t>
  </si>
  <si>
    <t xml:space="preserve">Net income (Y0)</t>
  </si>
  <si>
    <t xml:space="preserve">Audited Y0 net income; populates the Projections Y0 net-income cell</t>
  </si>
  <si>
    <t xml:space="preserve">revenue_growth_y1</t>
  </si>
  <si>
    <t xml:space="preserve">Revenue growth (total) (Y1)</t>
  </si>
  <si>
    <t xml:space="preserve">revenue_growth_y2</t>
  </si>
  <si>
    <t xml:space="preserve">Revenue growth (total) (Y2)</t>
  </si>
  <si>
    <t xml:space="preserve">revenue_growth_y3</t>
  </si>
  <si>
    <t xml:space="preserve">Revenue growth (total) (Y3)</t>
  </si>
  <si>
    <t xml:space="preserve">revenue_growth_y4</t>
  </si>
  <si>
    <t xml:space="preserve">Revenue growth (total) (Y4)</t>
  </si>
  <si>
    <t xml:space="preserve">revenue_growth_y5</t>
  </si>
  <si>
    <t xml:space="preserve">Revenue growth (total) (Y5)</t>
  </si>
  <si>
    <t xml:space="preserve">revenue_growth_primary_y1</t>
  </si>
  <si>
    <t xml:space="preserve">Revenue growth (primary, conservative) (Y1)</t>
  </si>
  <si>
    <t xml:space="preserve">revenue_growth_primary_y2</t>
  </si>
  <si>
    <t xml:space="preserve">Revenue growth (primary, conservative) (Y2)</t>
  </si>
  <si>
    <t xml:space="preserve">revenue_growth_primary_y3</t>
  </si>
  <si>
    <t xml:space="preserve">Revenue growth (primary, conservative) (Y3)</t>
  </si>
  <si>
    <t xml:space="preserve">revenue_growth_primary_y4</t>
  </si>
  <si>
    <t xml:space="preserve">Revenue growth (primary, conservative) (Y4)</t>
  </si>
  <si>
    <t xml:space="preserve">revenue_growth_primary_y5</t>
  </si>
  <si>
    <t xml:space="preserve">Revenue growth (primary, conservative) (Y5)</t>
  </si>
  <si>
    <t xml:space="preserve">gross_margin_y1</t>
  </si>
  <si>
    <t xml:space="preserve">Gross margin (Y1)</t>
  </si>
  <si>
    <t xml:space="preserve">gross_margin_y2</t>
  </si>
  <si>
    <t xml:space="preserve">Gross margin (Y2)</t>
  </si>
  <si>
    <t xml:space="preserve">gross_margin_y3</t>
  </si>
  <si>
    <t xml:space="preserve">Gross margin (Y3)</t>
  </si>
  <si>
    <t xml:space="preserve">gross_margin_y4</t>
  </si>
  <si>
    <t xml:space="preserve">Gross margin (Y4)</t>
  </si>
  <si>
    <t xml:space="preserve">gross_margin_y5</t>
  </si>
  <si>
    <t xml:space="preserve">Gross margin (Y5)</t>
  </si>
  <si>
    <t xml:space="preserve">opex_pct_revenue_y1</t>
  </si>
  <si>
    <t xml:space="preserve">Opex % of revenue (Y1)</t>
  </si>
  <si>
    <t xml:space="preserve">opex_pct_revenue_y2</t>
  </si>
  <si>
    <t xml:space="preserve">Opex % of revenue (Y2)</t>
  </si>
  <si>
    <t xml:space="preserve">opex_pct_revenue_y3</t>
  </si>
  <si>
    <t xml:space="preserve">Opex % of revenue (Y3)</t>
  </si>
  <si>
    <t xml:space="preserve">opex_pct_revenue_y4</t>
  </si>
  <si>
    <t xml:space="preserve">Opex % of revenue (Y4)</t>
  </si>
  <si>
    <t xml:space="preserve">opex_pct_revenue_y5</t>
  </si>
  <si>
    <t xml:space="preserve">Opex % of revenue (Y5)</t>
  </si>
  <si>
    <t xml:space="preserve">capex_pct_revenue_y1</t>
  </si>
  <si>
    <t xml:space="preserve">Capex % of revenue (Y1)</t>
  </si>
  <si>
    <t xml:space="preserve">capex_pct_revenue_y2</t>
  </si>
  <si>
    <t xml:space="preserve">Capex % of revenue (Y2)</t>
  </si>
  <si>
    <t xml:space="preserve">capex_pct_revenue_y3</t>
  </si>
  <si>
    <t xml:space="preserve">Capex % of revenue (Y3)</t>
  </si>
  <si>
    <t xml:space="preserve">capex_pct_revenue_y4</t>
  </si>
  <si>
    <t xml:space="preserve">Capex % of revenue (Y4)</t>
  </si>
  <si>
    <t xml:space="preserve">capex_pct_revenue_y5</t>
  </si>
  <si>
    <t xml:space="preserve">Capex % of revenue (Y5)</t>
  </si>
  <si>
    <t xml:space="preserve">dep_pct_revenue_y1</t>
  </si>
  <si>
    <t xml:space="preserve">Depreciation % of revenue (Y1)</t>
  </si>
  <si>
    <t xml:space="preserve">dep_pct_revenue_y2</t>
  </si>
  <si>
    <t xml:space="preserve">Depreciation % of revenue (Y2)</t>
  </si>
  <si>
    <t xml:space="preserve">dep_pct_revenue_y3</t>
  </si>
  <si>
    <t xml:space="preserve">Depreciation % of revenue (Y3)</t>
  </si>
  <si>
    <t xml:space="preserve">dep_pct_revenue_y4</t>
  </si>
  <si>
    <t xml:space="preserve">Depreciation % of revenue (Y4)</t>
  </si>
  <si>
    <t xml:space="preserve">dep_pct_revenue_y5</t>
  </si>
  <si>
    <t xml:space="preserve">Depreciation % of revenue (Y5)</t>
  </si>
  <si>
    <t xml:space="preserve">nwc_pct_sales_y1</t>
  </si>
  <si>
    <t xml:space="preserve">Working capital % of sales (Y1)</t>
  </si>
  <si>
    <t xml:space="preserve">nwc_pct_sales_y2</t>
  </si>
  <si>
    <t xml:space="preserve">Working capital % of sales (Y2)</t>
  </si>
  <si>
    <t xml:space="preserve">nwc_pct_sales_y3</t>
  </si>
  <si>
    <t xml:space="preserve">Working capital % of sales (Y3)</t>
  </si>
  <si>
    <t xml:space="preserve">nwc_pct_sales_y4</t>
  </si>
  <si>
    <t xml:space="preserve">Working capital % of sales (Y4)</t>
  </si>
  <si>
    <t xml:space="preserve">nwc_pct_sales_y5</t>
  </si>
  <si>
    <t xml:space="preserve">Working capital % of sales (Y5)</t>
  </si>
  <si>
    <t xml:space="preserve">Section E — Terminal value  (Core)</t>
  </si>
  <si>
    <t xml:space="preserve">terminal_method</t>
  </si>
  <si>
    <t xml:space="preserve">Terminal value method</t>
  </si>
  <si>
    <t xml:space="preserve">gordon_growth</t>
  </si>
  <si>
    <t xml:space="preserve">gordon_growth | exit_multiple</t>
  </si>
  <si>
    <t xml:space="preserve">terminal_growth_rate</t>
  </si>
  <si>
    <t xml:space="preserve">Terminal growth rate</t>
  </si>
  <si>
    <t xml:space="preserve">Long-run global GDP growth proxy for software industry maturity</t>
  </si>
  <si>
    <t xml:space="preserve">terminal_exit_multiple_type</t>
  </si>
  <si>
    <t xml:space="preserve">Exit multiple metric</t>
  </si>
  <si>
    <t xml:space="preserve">terminal_exit_multiple_value</t>
  </si>
  <si>
    <t xml:space="preserve">Exit multiple value</t>
  </si>
  <si>
    <t xml:space="preserve">terminal_nominal_gdp_growth</t>
  </si>
  <si>
    <t xml:space="preserve">Nominal GDP growth (reference ceiling)</t>
  </si>
  <si>
    <t xml:space="preserve">Long-run nominal GDP of the operating jurisdiction; terminal g at/above GDP − 50bps is flagged</t>
  </si>
  <si>
    <t xml:space="preserve">Section F — WACC inputs  (Core)</t>
  </si>
  <si>
    <t xml:space="preserve">risk_free_rate</t>
  </si>
  <si>
    <t xml:space="preserve">10y UST yield 2026-04-29 close</t>
  </si>
  <si>
    <t xml:space="preserve">risk_free_rate_source</t>
  </si>
  <si>
    <t xml:space="preserve">Risk-free rate source descriptor</t>
  </si>
  <si>
    <t xml:space="preserve">10y UST as at 2026-04-29</t>
  </si>
  <si>
    <t xml:space="preserve">equity_risk_premium</t>
  </si>
  <si>
    <t xml:space="preserve">Equity risk premium (ERP)</t>
  </si>
  <si>
    <t xml:space="preserve">Damodaran</t>
  </si>
  <si>
    <t xml:space="preserve">Damodaran ERP 2024 implied</t>
  </si>
  <si>
    <t xml:space="preserve">country_risk_premium</t>
  </si>
  <si>
    <t xml:space="preserve">Country risk premium</t>
  </si>
  <si>
    <t xml:space="preserve">Damodaran Country ERP 2024, SG</t>
  </si>
  <si>
    <t xml:space="preserve">unlevered_beta</t>
  </si>
  <si>
    <t xml:space="preserve">Unlevered beta</t>
  </si>
  <si>
    <t xml:space="preserve">Calculated</t>
  </si>
  <si>
    <t xml:space="preserve">Median unlevered beta of comparable companies marked selected_for_wacc, re-levered to target capital structure</t>
  </si>
  <si>
    <t xml:space="preserve">target_debt_to_equity</t>
  </si>
  <si>
    <t xml:space="preserve">Target D/E ratio</t>
  </si>
  <si>
    <t xml:space="preserve">levered_beta</t>
  </si>
  <si>
    <t xml:space="preserve">Levered beta (calculated)</t>
  </si>
  <si>
    <t xml:space="preserve">size_premium</t>
  </si>
  <si>
    <t xml:space="preserve">Size premium</t>
  </si>
  <si>
    <t xml:space="preserve">specific_risk_premium</t>
  </si>
  <si>
    <t xml:space="preserve">Specific risk premium</t>
  </si>
  <si>
    <t xml:space="preserve">cost_of_equity</t>
  </si>
  <si>
    <t xml:space="preserve">Cost of equity (calculated)</t>
  </si>
  <si>
    <t xml:space="preserve">pretax_cost_of_debt</t>
  </si>
  <si>
    <t xml:space="preserve">Pre-tax cost of debt</t>
  </si>
  <si>
    <t xml:space="preserve">aftertax_cost_of_debt</t>
  </si>
  <si>
    <t xml:space="preserve">After-tax cost of debt (calculated)</t>
  </si>
  <si>
    <t xml:space="preserve">target_debt_weight</t>
  </si>
  <si>
    <t xml:space="preserve">D/V (debt weight)</t>
  </si>
  <si>
    <t xml:space="preserve">target_equity_weight</t>
  </si>
  <si>
    <t xml:space="preserve">E/V (equity weight)</t>
  </si>
  <si>
    <t xml:space="preserve">wacc</t>
  </si>
  <si>
    <t xml:space="preserve">WACC (calculated)</t>
  </si>
  <si>
    <t xml:space="preserve">Section I — EV -&gt; Equity bridge  (Core)</t>
  </si>
  <si>
    <t xml:space="preserve">surplus_assets</t>
  </si>
  <si>
    <t xml:space="preserve">Surplus / non-operating assets</t>
  </si>
  <si>
    <t xml:space="preserve">net_debt_override</t>
  </si>
  <si>
    <t xml:space="preserve">Net debt (override)</t>
  </si>
  <si>
    <t xml:space="preserve">minority_interests</t>
  </si>
  <si>
    <t xml:space="preserve">Minority interests</t>
  </si>
  <si>
    <t xml:space="preserve">non_operating_assets</t>
  </si>
  <si>
    <t xml:space="preserve">Non-operating assets</t>
  </si>
  <si>
    <t xml:space="preserve">dlom_pct</t>
  </si>
  <si>
    <t xml:space="preserve">DLOM rate</t>
  </si>
  <si>
    <t xml:space="preserve">Restricted stock studies median, 2024</t>
  </si>
  <si>
    <t xml:space="preserve">Pre-IPO</t>
  </si>
  <si>
    <t xml:space="preserve">dloc_pct</t>
  </si>
  <si>
    <t xml:space="preserve">DLOC rate</t>
  </si>
  <si>
    <t xml:space="preserve">Mergerstat control premium inverse</t>
  </si>
  <si>
    <t xml:space="preserve">equity_interest_pct</t>
  </si>
  <si>
    <t xml:space="preserve">Client's % equity interest</t>
  </si>
  <si>
    <t xml:space="preserve">shares_outstanding</t>
  </si>
  <si>
    <t xml:space="preserve">Shares outstanding (basic)</t>
  </si>
  <si>
    <t xml:space="preserve">Prospectus</t>
  </si>
  <si>
    <t xml:space="preserve">Draft prospectus, share capital section</t>
  </si>
  <si>
    <t xml:space="preserve">Basic — diluted figure tracked separately</t>
  </si>
  <si>
    <t xml:space="preserve">Shares outstanding (diluted)</t>
  </si>
  <si>
    <t xml:space="preserve">pre_money_pct</t>
  </si>
  <si>
    <t xml:space="preserve">Pre-money equity %</t>
  </si>
  <si>
    <t xml:space="preserve">Section J — Adjustment toggles  (Extended)</t>
  </si>
  <si>
    <t xml:space="preserve">capitalize_rd</t>
  </si>
  <si>
    <t xml:space="preserve">Capitalize R&amp;D?</t>
  </si>
  <si>
    <t xml:space="preserve">boolean</t>
  </si>
  <si>
    <t xml:space="preserve">rd_amortization_years</t>
  </si>
  <si>
    <t xml:space="preserve">R&amp;D amortization period (years)</t>
  </si>
  <si>
    <t xml:space="preserve">convert_operating_leases</t>
  </si>
  <si>
    <t xml:space="preserve">Convert operating leases to debt?</t>
  </si>
  <si>
    <t xml:space="preserve">lease_discount_rate</t>
  </si>
  <si>
    <t xml:space="preserve">Lease discount rate</t>
  </si>
  <si>
    <t xml:space="preserve">Section K — Football field weights  (Extended)</t>
  </si>
  <si>
    <t xml:space="preserve">weight_dcf</t>
  </si>
  <si>
    <t xml:space="preserve">DCF weight</t>
  </si>
  <si>
    <t xml:space="preserve">weight_comps</t>
  </si>
  <si>
    <t xml:space="preserve">Comparable companies weight</t>
  </si>
  <si>
    <t xml:space="preserve">weight_precedent</t>
  </si>
  <si>
    <t xml:space="preserve">Precedent transactions weight</t>
  </si>
  <si>
    <t xml:space="preserve">weight_nav</t>
  </si>
  <si>
    <t xml:space="preserve">NAV / asset-based weight</t>
  </si>
  <si>
    <t xml:space="preserve">selected_low</t>
  </si>
  <si>
    <t xml:space="preserve">Selected valuation low</t>
  </si>
  <si>
    <t xml:space="preserve">selected_mid</t>
  </si>
  <si>
    <t xml:space="preserve">Selected valuation mid</t>
  </si>
  <si>
    <t xml:space="preserve">selected_high</t>
  </si>
  <si>
    <t xml:space="preserve">Selected valuation high</t>
  </si>
  <si>
    <t xml:space="preserve">Section L — Sensitivity ranges  (Extended)</t>
  </si>
  <si>
    <t xml:space="preserve">sens_wacc_step</t>
  </si>
  <si>
    <t xml:space="preserve">WACC sensitivity step</t>
  </si>
  <si>
    <t xml:space="preserve">sens_wacc_count</t>
  </si>
  <si>
    <t xml:space="preserve">WACC steps each side of base</t>
  </si>
  <si>
    <t xml:space="preserve">sens_terminal_g_step</t>
  </si>
  <si>
    <t xml:space="preserve">Terminal g sensitivity step</t>
  </si>
  <si>
    <t xml:space="preserve">sens_terminal_g_count</t>
  </si>
  <si>
    <t xml:space="preserve">Terminal g steps each side</t>
  </si>
  <si>
    <t xml:space="preserve">sens_revenue_g_step</t>
  </si>
  <si>
    <t xml:space="preserve">Revenue growth sens step</t>
  </si>
  <si>
    <t xml:space="preserve">sens_ebitda_margin_step</t>
  </si>
  <si>
    <t xml:space="preserve">EBITDA margin sens step</t>
  </si>
  <si>
    <t xml:space="preserve">Section G — Comparable companies table  (Core)</t>
  </si>
  <si>
    <t xml:space="preserve">Tier</t>
  </si>
  <si>
    <t xml:space="preserve">Include</t>
  </si>
  <si>
    <t xml:space="preserve">Ticker</t>
  </si>
  <si>
    <t xml:space="preserve">Business description</t>
  </si>
  <si>
    <t xml:space="preserve">Country</t>
  </si>
  <si>
    <t xml:space="preserve">Market cap (USD mm)</t>
  </si>
  <si>
    <t xml:space="preserve">D/E ratio</t>
  </si>
  <si>
    <t xml:space="preserve">Raw levered beta</t>
  </si>
  <si>
    <t xml:space="preserve">Effective tax rate</t>
  </si>
  <si>
    <t xml:space="preserve">Unlevered beta (calculated)</t>
  </si>
  <si>
    <t xml:space="preserve">Atlassian</t>
  </si>
  <si>
    <t xml:space="preserve">NASDAQ:TEAM</t>
  </si>
  <si>
    <t xml:space="preserve">Team collaboration and productivity software (Jira, Confluence)</t>
  </si>
  <si>
    <t xml:space="preserve">AU</t>
  </si>
  <si>
    <t xml:space="preserve">US GAAP</t>
  </si>
  <si>
    <t xml:space="preserve">Datadog</t>
  </si>
  <si>
    <t xml:space="preserve">NASDAQ:DDOG</t>
  </si>
  <si>
    <t xml:space="preserve">Cloud observability and monitoring platform</t>
  </si>
  <si>
    <t xml:space="preserve">US</t>
  </si>
  <si>
    <t xml:space="preserve">MongoDB</t>
  </si>
  <si>
    <t xml:space="preserve">NASDAQ:MDB</t>
  </si>
  <si>
    <t xml:space="preserve">Document-oriented NoSQL database (Atlas managed service)</t>
  </si>
  <si>
    <t xml:space="preserve">Box</t>
  </si>
  <si>
    <t xml:space="preserve">NASDAQ:BOX</t>
  </si>
  <si>
    <t xml:space="preserve">Cloud content management and file sharing for enterprise</t>
  </si>
  <si>
    <t xml:space="preserve">Section H — Precedent transactions  (Extended)</t>
  </si>
  <si>
    <t xml:space="preserve">Date</t>
  </si>
  <si>
    <t xml:space="preserve">Acquirer</t>
  </si>
  <si>
    <t xml:space="preserve">Target</t>
  </si>
  <si>
    <t xml:space="preserve">EV (USD mm)</t>
  </si>
  <si>
    <t xml:space="preserve">EV/Revenue</t>
  </si>
  <si>
    <t xml:space="preserve">EV/EBITDA</t>
  </si>
  <si>
    <t xml:space="preserve">Premium paid</t>
  </si>
  <si>
    <t xml:space="preserve">Strategic rationale</t>
  </si>
  <si>
    <t xml:space="preserve">2024-09-12</t>
  </si>
  <si>
    <t xml:space="preserve">Cisco</t>
  </si>
  <si>
    <t xml:space="preserve">Splunk</t>
  </si>
  <si>
    <t xml:space="preserve">Strategic — observability stack</t>
  </si>
  <si>
    <t xml:space="preserve">Section I — Revenue segments  (Optional)</t>
  </si>
  <si>
    <t xml:space="preserve">Optional segmented breakdown. Fill rows below + re-upload to override top-level revenue_growth / gross_margin with a segment aggregate. start_year=0 means the segment already exists in Y0; start_year&gt;0 introduces a new revenue line at that projection year.</t>
  </si>
  <si>
    <t xml:space="preserve">Segment name</t>
  </si>
  <si>
    <t xml:space="preserve">Start year</t>
  </si>
  <si>
    <t xml:space="preserve">Initial revenue</t>
  </si>
  <si>
    <t xml:space="preserve">Growth Y1</t>
  </si>
  <si>
    <t xml:space="preserve">Growth Y2</t>
  </si>
  <si>
    <t xml:space="preserve">Growth Y3</t>
  </si>
  <si>
    <t xml:space="preserve">Growth Y4</t>
  </si>
  <si>
    <t xml:space="preserve">Growth Y5</t>
  </si>
  <si>
    <t xml:space="preserve">GM Y1</t>
  </si>
  <si>
    <t xml:space="preserve">GM Y2</t>
  </si>
  <si>
    <t xml:space="preserve">GM Y3</t>
  </si>
  <si>
    <t xml:space="preserve">GM Y4</t>
  </si>
  <si>
    <t xml:space="preserve">GM Y5</t>
  </si>
  <si>
    <t xml:space="preserve">Opex% Y1</t>
  </si>
  <si>
    <t xml:space="preserve">Opex% Y2</t>
  </si>
  <si>
    <t xml:space="preserve">Opex% Y3</t>
  </si>
  <si>
    <t xml:space="preserve">Opex% Y4</t>
  </si>
  <si>
    <t xml:space="preserve">Opex% Y5</t>
  </si>
  <si>
    <t xml:space="preserve">Growth basis</t>
  </si>
  <si>
    <t xml:space="preserve">Contractual support</t>
  </si>
  <si>
    <t xml:space="preserve">Historical Financial Statements</t>
  </si>
  <si>
    <t xml:space="preserve">3-5 years audited income statement + balance sheet. Manual entry from client PBC. Y0 base values for the Projections sheet (revenue, NWC) should be populated from this sheet.</t>
  </si>
  <si>
    <t xml:space="preserve">Line item</t>
  </si>
  <si>
    <t xml:space="preserve">FY-5</t>
  </si>
  <si>
    <t xml:space="preserve">FY-4</t>
  </si>
  <si>
    <t xml:space="preserve">Income Statement</t>
  </si>
  <si>
    <t xml:space="preserve">(currency × unit)</t>
  </si>
  <si>
    <t xml:space="preserve">Cost of revenue</t>
  </si>
  <si>
    <t xml:space="preserve">Gross profit</t>
  </si>
  <si>
    <t xml:space="preserve">Operating expenses</t>
  </si>
  <si>
    <t xml:space="preserve">  Selling, general &amp; admin</t>
  </si>
  <si>
    <t xml:space="preserve">  Research &amp; development</t>
  </si>
  <si>
    <t xml:space="preserve">Depreciation &amp; amortization</t>
  </si>
  <si>
    <t xml:space="preserve">EBIT (Operating income)</t>
  </si>
  <si>
    <t xml:space="preserve">Interest expense</t>
  </si>
  <si>
    <t xml:space="preserve">Other income / (expense)</t>
  </si>
  <si>
    <t xml:space="preserve">Profit before tax</t>
  </si>
  <si>
    <t xml:space="preserve">Tax expense</t>
  </si>
  <si>
    <t xml:space="preserve">Net income</t>
  </si>
  <si>
    <t xml:space="preserve">Balance Sheet</t>
  </si>
  <si>
    <t xml:space="preserve">Current assets</t>
  </si>
  <si>
    <t xml:space="preserve">  Cash and equivalents</t>
  </si>
  <si>
    <t xml:space="preserve">  Accounts receivable</t>
  </si>
  <si>
    <t xml:space="preserve">  Inventory</t>
  </si>
  <si>
    <t xml:space="preserve">  Prepaid expenses</t>
  </si>
  <si>
    <t xml:space="preserve">Total current assets</t>
  </si>
  <si>
    <t xml:space="preserve">Non-current assets</t>
  </si>
  <si>
    <t xml:space="preserve">  Property, plant &amp; equipment</t>
  </si>
  <si>
    <t xml:space="preserve">  Intangible assets</t>
  </si>
  <si>
    <t xml:space="preserve">  Other long-term assets</t>
  </si>
  <si>
    <t xml:space="preserve">Total assets</t>
  </si>
  <si>
    <t xml:space="preserve">Current liabilities</t>
  </si>
  <si>
    <t xml:space="preserve">  Accounts payable</t>
  </si>
  <si>
    <t xml:space="preserve">  Short-term debt</t>
  </si>
  <si>
    <t xml:space="preserve">  Other current liabilities</t>
  </si>
  <si>
    <t xml:space="preserve">Total current liabilities</t>
  </si>
  <si>
    <t xml:space="preserve">Non-current liabilities</t>
  </si>
  <si>
    <t xml:space="preserve">  Long-term debt</t>
  </si>
  <si>
    <t xml:space="preserve">  Other long-term liabilities</t>
  </si>
  <si>
    <t xml:space="preserve">Total liabilities</t>
  </si>
  <si>
    <t xml:space="preserve">Total equity</t>
  </si>
  <si>
    <t xml:space="preserve">Derived metrics (calculated)</t>
  </si>
  <si>
    <t xml:space="preserve">Net working capital  (= current assets − current liabilities)</t>
  </si>
  <si>
    <t xml:space="preserve">Net debt  (= short-term debt + long-term debt − cash)</t>
  </si>
  <si>
    <t xml:space="preserve">Projections — driven by Inputs</t>
  </si>
  <si>
    <t xml:space="preserve">Year-by-year forecast lines. Every assumption flows from Inputs named ranges. Edit a value on Inputs and this sheet recalculates.</t>
  </si>
  <si>
    <t xml:space="preserve">Y0 (base)</t>
  </si>
  <si>
    <t xml:space="preserve">Y1</t>
  </si>
  <si>
    <t xml:space="preserve">Y2</t>
  </si>
  <si>
    <t xml:space="preserve">Y3</t>
  </si>
  <si>
    <t xml:space="preserve">Y4</t>
  </si>
  <si>
    <t xml:space="preserve">Y5</t>
  </si>
  <si>
    <t xml:space="preserve">Revenue &amp; growth</t>
  </si>
  <si>
    <t xml:space="preserve">Revenue - Primary</t>
  </si>
  <si>
    <t xml:space="preserve">(from Inputs)</t>
  </si>
  <si>
    <t xml:space="preserve">  Core business baseline carryover</t>
  </si>
  <si>
    <t xml:space="preserve">  Capped baseline growth</t>
  </si>
  <si>
    <t xml:space="preserve">Revenue growth (primary)</t>
  </si>
  <si>
    <t xml:space="preserve">%</t>
  </si>
  <si>
    <t xml:space="preserve">Revenue - Others</t>
  </si>
  <si>
    <t xml:space="preserve">  Core business excess upside</t>
  </si>
  <si>
    <t xml:space="preserve">  Unallocated model adjustment</t>
  </si>
  <si>
    <t xml:space="preserve">Sum of Revenue - Others (tie-out)</t>
  </si>
  <si>
    <t xml:space="preserve">Other revenue growth</t>
  </si>
  <si>
    <t xml:space="preserve">Total Revenue</t>
  </si>
  <si>
    <t xml:space="preserve">Revenue growth (total)</t>
  </si>
  <si>
    <t xml:space="preserve">Cost of goods sold</t>
  </si>
  <si>
    <t xml:space="preserve">COGS - Primary</t>
  </si>
  <si>
    <t xml:space="preserve">COGS - Others</t>
  </si>
  <si>
    <t xml:space="preserve">Total COGS</t>
  </si>
  <si>
    <t xml:space="preserve">Profitability</t>
  </si>
  <si>
    <t xml:space="preserve">Gross margin</t>
  </si>
  <si>
    <t xml:space="preserve">EBITDA margin</t>
  </si>
  <si>
    <t xml:space="preserve">EBIT</t>
  </si>
  <si>
    <t xml:space="preserve">EBIT margin</t>
  </si>
  <si>
    <t xml:space="preserve">Tax &amp; net income</t>
  </si>
  <si>
    <t xml:space="preserve">Tax</t>
  </si>
  <si>
    <t xml:space="preserve">Capex &amp; working capital</t>
  </si>
  <si>
    <t xml:space="preserve">Capex</t>
  </si>
  <si>
    <t xml:space="preserve">Net working capital</t>
  </si>
  <si>
    <t xml:space="preserve">Δ Working capital</t>
  </si>
  <si>
    <t xml:space="preserve">FCFF construction</t>
  </si>
  <si>
    <t xml:space="preserve">Less: Tax on EBIT</t>
  </si>
  <si>
    <t xml:space="preserve">Add: Depreciation</t>
  </si>
  <si>
    <t xml:space="preserve">Less: Capex</t>
  </si>
  <si>
    <t xml:space="preserve">Less: Δ Working capital</t>
  </si>
  <si>
    <t xml:space="preserve">Free Cash Flow to Firm (FCFF)</t>
  </si>
  <si>
    <t xml:space="preserve">Revenue streams — per-segment breakdown</t>
  </si>
  <si>
    <t xml:space="preserve">Driven by the Inputs 'Revenue segments' table. Unused slots stay blank. 'Direct expenses' uses the stream's own Opex% when provided (carved out of the top-level opex base), otherwise an allocation at the top-level ratio.</t>
  </si>
  <si>
    <t xml:space="preserve">Carved-out revenue (streams with own Opex%)</t>
  </si>
  <si>
    <t xml:space="preserve">Direct expenses — carved-out streams subtotal</t>
  </si>
  <si>
    <t xml:space="preserve">DCF — Per Management scenario</t>
  </si>
  <si>
    <t xml:space="preserve">FCFF schedule from Projections, discounted at scenario WACC. Convention: full-period discounting (no stub-year partial); terminal value computed at end of Y5 and PV'd at the same Y5 discount factor.</t>
  </si>
  <si>
    <t xml:space="preserve">Terminal</t>
  </si>
  <si>
    <t xml:space="preserve">Discount inputs</t>
  </si>
  <si>
    <t xml:space="preserve">WACC (this scenario)</t>
  </si>
  <si>
    <t xml:space="preserve">FCFF &amp; discount mechanics</t>
  </si>
  <si>
    <t xml:space="preserve">FCFF</t>
  </si>
  <si>
    <t xml:space="preserve">Discount period</t>
  </si>
  <si>
    <t xml:space="preserve">years</t>
  </si>
  <si>
    <t xml:space="preserve">Discount factor</t>
  </si>
  <si>
    <t xml:space="preserve">x</t>
  </si>
  <si>
    <t xml:space="preserve">PV of FCFF</t>
  </si>
  <si>
    <t xml:space="preserve">Terminal value</t>
  </si>
  <si>
    <t xml:space="preserve">Method</t>
  </si>
  <si>
    <t xml:space="preserve">Y5 FCFF</t>
  </si>
  <si>
    <t xml:space="preserve">Terminal value — Gordon Growth</t>
  </si>
  <si>
    <t xml:space="preserve">Terminal value — Exit Multiple</t>
  </si>
  <si>
    <t xml:space="preserve">Selected terminal value</t>
  </si>
  <si>
    <t xml:space="preserve">PV of terminal value</t>
  </si>
  <si>
    <t xml:space="preserve">Sum of PV of explicit-period FCFF</t>
  </si>
  <si>
    <t xml:space="preserve">+ PV of terminal value</t>
  </si>
  <si>
    <t xml:space="preserve">DCF — Independent scenario</t>
  </si>
  <si>
    <t xml:space="preserve">Comps — comparable companies cross-check</t>
  </si>
  <si>
    <t xml:space="preserve">Apply CoCo NTM trading multiples to target Y1 metrics. Implied EV from EV/Sales × Revenue and EV/EBITDA × EBITDA cross-check the DCF. P/E × Net Income gives implied Equity (bridge to EV via surplus/net debt).</t>
  </si>
  <si>
    <t xml:space="preserve">Target metric (Y1)</t>
  </si>
  <si>
    <t xml:space="preserve">CoCo Q1</t>
  </si>
  <si>
    <t xml:space="preserve">CoCo Median</t>
  </si>
  <si>
    <t xml:space="preserve">CoCo Q3</t>
  </si>
  <si>
    <t xml:space="preserve">Implied (low)</t>
  </si>
  <si>
    <t xml:space="preserve">Implied (mid)</t>
  </si>
  <si>
    <t xml:space="preserve">Implied (high)</t>
  </si>
  <si>
    <t xml:space="preserve">NTM-based multiples (applied to Y1)</t>
  </si>
  <si>
    <t xml:space="preserve">EV/Sales NTM</t>
  </si>
  <si>
    <t xml:space="preserve">EV/EBITDA NTM</t>
  </si>
  <si>
    <t xml:space="preserve">P/E NTM (gives Equity)</t>
  </si>
  <si>
    <t xml:space="preserve">LTM-based multiples (not wired in v1 — needs Historical FS link)</t>
  </si>
  <si>
    <t xml:space="preserve">TODO: when Historical FS sheet is built, wire LTM target metrics here and apply 'CoCo Multiples'!E/G/I (LTM) columns.</t>
  </si>
  <si>
    <t xml:space="preserve">Cross-check summary — DCF vs CoCo-implied</t>
  </si>
  <si>
    <t xml:space="preserve">DCF EV — Per Management</t>
  </si>
  <si>
    <t xml:space="preserve">DCF EV — Independent</t>
  </si>
  <si>
    <t xml:space="preserve">CoCo-implied EV — EV/Sales NTM (Median)</t>
  </si>
  <si>
    <t xml:space="preserve">CoCo-implied EV — EV/EBITDA NTM (Median)</t>
  </si>
  <si>
    <t xml:space="preserve">CoCo-implied Equity — P/E NTM (Median)</t>
  </si>
  <si>
    <t xml:space="preserve">CoCo-implied EV — P/E NTM (bridged from Equity)</t>
  </si>
  <si>
    <t xml:space="preserve">Mean of CoCo-implied EVs (Sales + EBITDA + P/E)</t>
  </si>
  <si>
    <t xml:space="preserve">Football Field — methodology ranges (DCF primary; others cross-checks)</t>
  </si>
  <si>
    <t xml:space="preserve">Range chart input. DCF range comes from the two WACC scenarios and is the primary methodology (weight_dcf = 1.0). Comps range from CoCo Q1/Median/Q3 and Precedent range from precedents_table are retained as cross-checks against the DCF EV (±10% band, see rows 22-26).</t>
  </si>
  <si>
    <t xml:space="preserve">Weighted Mid</t>
  </si>
  <si>
    <t xml:space="preserve">Methodology ranges (EV in currency × unit)</t>
  </si>
  <si>
    <t xml:space="preserve">Low = Per-Mgmt vs Indep min; High = max; Mid = average</t>
  </si>
  <si>
    <t xml:space="preserve">  Comps — EV/Sales NTM</t>
  </si>
  <si>
    <t xml:space="preserve">Reference; weighted via combined Comps row below</t>
  </si>
  <si>
    <t xml:space="preserve">  Comps — EV/EBITDA NTM</t>
  </si>
  <si>
    <t xml:space="preserve">Reference</t>
  </si>
  <si>
    <t xml:space="preserve">  Comps — P/E NTM (EV after bridge)</t>
  </si>
  <si>
    <t xml:space="preserve">Reference; bridged from Equity</t>
  </si>
  <si>
    <t xml:space="preserve">Comps — combined (mean of 3 methodologies)</t>
  </si>
  <si>
    <t xml:space="preserve">Low/High across the 3 mids; Mid is mean</t>
  </si>
  <si>
    <t xml:space="preserve">Precedent transactions</t>
  </si>
  <si>
    <t xml:space="preserve">Mean EV/EBITDA × Y1 EBITDA across included precedents</t>
  </si>
  <si>
    <t xml:space="preserve">Concluded valuation (DCF primary)</t>
  </si>
  <si>
    <t xml:space="preserve">Total weight applied</t>
  </si>
  <si>
    <t xml:space="preserve">Selected valuation (manual override)</t>
  </si>
  <si>
    <t xml:space="preserve">Selected low</t>
  </si>
  <si>
    <t xml:space="preserve">Selected mid</t>
  </si>
  <si>
    <t xml:space="preserve">Selected high</t>
  </si>
  <si>
    <t xml:space="preserve">Cross-checks vs DCF enterprise value (±10% band)</t>
  </si>
  <si>
    <t xml:space="preserve">Cross-check</t>
  </si>
  <si>
    <t xml:space="preserve">Implied EV</t>
  </si>
  <si>
    <t xml:space="preserve">Variance vs DCF</t>
  </si>
  <si>
    <t xml:space="preserve">Assessment</t>
  </si>
  <si>
    <t xml:space="preserve">Market approach (Comps combined)</t>
  </si>
  <si>
    <t xml:space="preserve">Overall cross-check verdict</t>
  </si>
  <si>
    <t xml:space="preserve">WACC — discount rate build-up</t>
  </si>
  <si>
    <t xml:space="preserve">Two scenarios. Inputs (Rf, ERP, country premium) shared; beta / D/E / size / specific / Kd are scenario-specific. Calculated outputs (levered beta, Ke, after-tax Kd, WACC) cycle back to the Inputs sheet.</t>
  </si>
  <si>
    <t xml:space="preserve">Component</t>
  </si>
  <si>
    <t xml:space="preserve">Per Management</t>
  </si>
  <si>
    <t xml:space="preserve">Independent</t>
  </si>
  <si>
    <t xml:space="preserve">Cost of Equity (Ke)</t>
  </si>
  <si>
    <t xml:space="preserve">Levered beta (calc)</t>
  </si>
  <si>
    <t xml:space="preserve">Cost of Equity (calc)</t>
  </si>
  <si>
    <t xml:space="preserve">Cost of Debt (Kd)</t>
  </si>
  <si>
    <t xml:space="preserve">After-tax cost of debt (calc)</t>
  </si>
  <si>
    <t xml:space="preserve">Capital structure &amp; WACC</t>
  </si>
  <si>
    <t xml:space="preserve">WACC (calc)</t>
  </si>
  <si>
    <t xml:space="preserve">CoCo Selection — comparable companies</t>
  </si>
  <si>
    <t xml:space="preserve">Mirror view of the comparable companies table on the Inputs sheet. Edit values on Inputs; this sheet refreshes automatically.</t>
  </si>
  <si>
    <t xml:space="preserve">CoCo Multiples — trading multiples per comparable</t>
  </si>
  <si>
    <t xml:space="preserve">Per-CoCo metric values (Capital IQ / Bloomberg). Cols A-D mirror Inputs. Cols E onward are manual data entry. Summary stats compute below.</t>
  </si>
  <si>
    <t xml:space="preserve">EV/Sales LTM</t>
  </si>
  <si>
    <t xml:space="preserve">EV/EBITDA LTM</t>
  </si>
  <si>
    <t xml:space="preserve">P/E LTM</t>
  </si>
  <si>
    <t xml:space="preserve">P/E NTM</t>
  </si>
  <si>
    <t xml:space="preserve">Maximum</t>
  </si>
  <si>
    <t xml:space="preserve">Q3 (75%)</t>
  </si>
  <si>
    <t xml:space="preserve">Q1 (25%)</t>
  </si>
  <si>
    <t xml:space="preserve">Minimum</t>
  </si>
  <si>
    <t xml:space="preserve">Tier-filtered (include=TRUE)</t>
  </si>
  <si>
    <t xml:space="preserve">Tier 1 mean</t>
  </si>
  <si>
    <t xml:space="preserve">Tier 2 mean</t>
  </si>
  <si>
    <t xml:space="preserve">Tier 3 mean</t>
  </si>
  <si>
    <t xml:space="preserve">CoCo Margins — profitability per comparable</t>
  </si>
  <si>
    <t xml:space="preserve">Net margin</t>
  </si>
  <si>
    <t xml:space="preserve">CoCo Ratios — financial ratios per comparable</t>
  </si>
  <si>
    <t xml:space="preserve">ROE</t>
  </si>
  <si>
    <t xml:space="preserve">ROA</t>
  </si>
  <si>
    <t xml:space="preserve">D/E</t>
  </si>
  <si>
    <t xml:space="preserve">Current ratio</t>
  </si>
  <si>
    <t xml:space="preserve">TODO — formulas to be added in subsequent build pass.</t>
  </si>
  <si>
    <t xml:space="preserve">Country ERP — equity risk premium reference</t>
  </si>
  <si>
    <t xml:space="preserve">Reference table for country risk premium (CRP) and total ERP. Approximates Damodaran's mid-2025 published figures. **Refresh annually** from pages.stern.nyu.edu/~adamodar/ before any binding valuation. Look up your jurisdiction by ISO2 in column B, take ERP from column D and CRP from column E.</t>
  </si>
  <si>
    <t xml:space="preserve">ISO2</t>
  </si>
  <si>
    <t xml:space="preserve">Moody's rating</t>
  </si>
  <si>
    <t xml:space="preserve">Country Risk Premium</t>
  </si>
  <si>
    <t xml:space="preserve">Corporate Tax Rate</t>
  </si>
  <si>
    <t xml:space="preserve">Region</t>
  </si>
  <si>
    <t xml:space="preserve">United States</t>
  </si>
  <si>
    <t xml:space="preserve">Aaa</t>
  </si>
  <si>
    <t xml:space="preserve">North America</t>
  </si>
  <si>
    <t xml:space="preserve">United Kingdom</t>
  </si>
  <si>
    <t xml:space="preserve">GB</t>
  </si>
  <si>
    <t xml:space="preserve">Aa3</t>
  </si>
  <si>
    <t xml:space="preserve">Western Europe</t>
  </si>
  <si>
    <t xml:space="preserve">Germany</t>
  </si>
  <si>
    <t xml:space="preserve">DE</t>
  </si>
  <si>
    <t xml:space="preserve">France</t>
  </si>
  <si>
    <t xml:space="preserve">FR</t>
  </si>
  <si>
    <t xml:space="preserve">Switzerland</t>
  </si>
  <si>
    <t xml:space="preserve">CH</t>
  </si>
  <si>
    <t xml:space="preserve">Netherlands</t>
  </si>
  <si>
    <t xml:space="preserve">NL</t>
  </si>
  <si>
    <t xml:space="preserve">Australia</t>
  </si>
  <si>
    <t xml:space="preserve">Australia &amp; NZ</t>
  </si>
  <si>
    <t xml:space="preserve">New Zealand</t>
  </si>
  <si>
    <t xml:space="preserve">NZ</t>
  </si>
  <si>
    <t xml:space="preserve">Canada</t>
  </si>
  <si>
    <t xml:space="preserve">CA</t>
  </si>
  <si>
    <t xml:space="preserve">Japan</t>
  </si>
  <si>
    <t xml:space="preserve">JP</t>
  </si>
  <si>
    <t xml:space="preserve">A1</t>
  </si>
  <si>
    <t xml:space="preserve">Asia</t>
  </si>
  <si>
    <t xml:space="preserve">South Korea</t>
  </si>
  <si>
    <t xml:space="preserve">KR</t>
  </si>
  <si>
    <t xml:space="preserve">Aa2</t>
  </si>
  <si>
    <t xml:space="preserve">Taiwan</t>
  </si>
  <si>
    <t xml:space="preserve">TW</t>
  </si>
  <si>
    <t xml:space="preserve">China</t>
  </si>
  <si>
    <t xml:space="preserve">CN</t>
  </si>
  <si>
    <t xml:space="preserve">Hong Kong</t>
  </si>
  <si>
    <t xml:space="preserve">HK</t>
  </si>
  <si>
    <t xml:space="preserve">Singapore</t>
  </si>
  <si>
    <t xml:space="preserve">Malaysia</t>
  </si>
  <si>
    <t xml:space="preserve">MY</t>
  </si>
  <si>
    <t xml:space="preserve">A3</t>
  </si>
  <si>
    <t xml:space="preserve">Thailand</t>
  </si>
  <si>
    <t xml:space="preserve">TH</t>
  </si>
  <si>
    <t xml:space="preserve">Baa1</t>
  </si>
  <si>
    <t xml:space="preserve">Vietnam</t>
  </si>
  <si>
    <t xml:space="preserve">VN</t>
  </si>
  <si>
    <t xml:space="preserve">Ba2</t>
  </si>
  <si>
    <t xml:space="preserve">Indonesia</t>
  </si>
  <si>
    <t xml:space="preserve">ID</t>
  </si>
  <si>
    <t xml:space="preserve">Baa2</t>
  </si>
  <si>
    <t xml:space="preserve">Philippines</t>
  </si>
  <si>
    <t xml:space="preserve">PH</t>
  </si>
  <si>
    <t xml:space="preserve">India</t>
  </si>
  <si>
    <t xml:space="preserve">IN</t>
  </si>
  <si>
    <t xml:space="preserve">Baa3</t>
  </si>
  <si>
    <t xml:space="preserve">Pakistan</t>
  </si>
  <si>
    <t xml:space="preserve">PK</t>
  </si>
  <si>
    <t xml:space="preserve">Caa2</t>
  </si>
  <si>
    <t xml:space="preserve">Bangladesh</t>
  </si>
  <si>
    <t xml:space="preserve">BD</t>
  </si>
  <si>
    <t xml:space="preserve">B2</t>
  </si>
  <si>
    <t xml:space="preserve">Cayman Islands</t>
  </si>
  <si>
    <t xml:space="preserve">KY</t>
  </si>
  <si>
    <t xml:space="preserve">Caribbean (offshore)</t>
  </si>
  <si>
    <t xml:space="preserve">British Virgin Is.</t>
  </si>
  <si>
    <t xml:space="preserve">VG</t>
  </si>
  <si>
    <t xml:space="preserve">NA</t>
  </si>
  <si>
    <t xml:space="preserve">Bermuda</t>
  </si>
  <si>
    <t xml:space="preserve">BM</t>
  </si>
  <si>
    <t xml:space="preserve">A2</t>
  </si>
  <si>
    <t xml:space="preserve">Brazil</t>
  </si>
  <si>
    <t xml:space="preserve">BR</t>
  </si>
  <si>
    <t xml:space="preserve">Latin America</t>
  </si>
  <si>
    <t xml:space="preserve">Mexico</t>
  </si>
  <si>
    <t xml:space="preserve">MX</t>
  </si>
  <si>
    <t xml:space="preserve">UAE</t>
  </si>
  <si>
    <t xml:space="preserve">AE</t>
  </si>
  <si>
    <t xml:space="preserve">Middle East</t>
  </si>
  <si>
    <t xml:space="preserve">Saudi Arabia</t>
  </si>
  <si>
    <t xml:space="preserve">SA</t>
  </si>
  <si>
    <t xml:space="preserve">Israel</t>
  </si>
  <si>
    <t xml:space="preserve">IL</t>
  </si>
  <si>
    <t xml:space="preserve">Source: Aswath Damodaran (NYU Stern) country ERP methodology. Mature-market ERP baseline ≈ 4.57%; CRP is the country-specific premium added for non-AAA jurisdictions. Numbers above are 2024-2025 approximations — REFRESH from the live source before binding work.</t>
  </si>
  <si>
    <t xml:space="preserve">Industry Averages — Damodaran US-industry reference (mid-2025)</t>
  </si>
  <si>
    <t xml:space="preserve">Reference table for unlevered beta, margin, capex-intensity, and EV/EBITDA NTM by industry. Approximates Damodaran's mid-2025 published US figures. **Refresh annually** from pages.stern.nyu.edu/~adamodar/ before binding work. For Asia-Pac targets, betas tend to run ~10-15% higher than the US baseline.</t>
  </si>
  <si>
    <t xml:space="preserve">Industry</t>
  </si>
  <si>
    <t xml:space="preserve">n firms</t>
  </si>
  <si>
    <t xml:space="preserve">Unlevered β</t>
  </si>
  <si>
    <t xml:space="preserve">Operating margin</t>
  </si>
  <si>
    <t xml:space="preserve">Capex / Revenue</t>
  </si>
  <si>
    <t xml:space="preserve">D&amp;A / Revenue</t>
  </si>
  <si>
    <t xml:space="preserve">Advertising</t>
  </si>
  <si>
    <t xml:space="preserve">Aerospace/Defense</t>
  </si>
  <si>
    <t xml:space="preserve">Auto &amp; Truck (manufacturers)</t>
  </si>
  <si>
    <t xml:space="preserve">Bank (Money Center)</t>
  </si>
  <si>
    <t xml:space="preserve">Beverage (Alcoholic)</t>
  </si>
  <si>
    <t xml:space="preserve">Beverage (Soft)</t>
  </si>
  <si>
    <t xml:space="preserve">Biotechnology</t>
  </si>
  <si>
    <t xml:space="preserve">Broadcasting</t>
  </si>
  <si>
    <t xml:space="preserve">Building Materials</t>
  </si>
  <si>
    <t xml:space="preserve">Business &amp; Consumer Services</t>
  </si>
  <si>
    <t xml:space="preserve">Cable TV</t>
  </si>
  <si>
    <t xml:space="preserve">Chemical (Diversified)</t>
  </si>
  <si>
    <t xml:space="preserve">Computer Services</t>
  </si>
  <si>
    <t xml:space="preserve">Computers/Peripherals</t>
  </si>
  <si>
    <t xml:space="preserve">Construction Supplies</t>
  </si>
  <si>
    <t xml:space="preserve">Drugs (Biotechnology)</t>
  </si>
  <si>
    <t xml:space="preserve">Drugs (Pharmaceutical)</t>
  </si>
  <si>
    <t xml:space="preserve">Education</t>
  </si>
  <si>
    <t xml:space="preserve">Electrical Equipment</t>
  </si>
  <si>
    <t xml:space="preserve">Engineering/Construction</t>
  </si>
  <si>
    <t xml:space="preserve">Entertainment</t>
  </si>
  <si>
    <t xml:space="preserve">Environmental &amp; Waste Services</t>
  </si>
  <si>
    <t xml:space="preserve">Financial Svcs. (Non-bank)</t>
  </si>
  <si>
    <t xml:space="preserve">Food Processing</t>
  </si>
  <si>
    <t xml:space="preserve">Furn/Home Furnishings</t>
  </si>
  <si>
    <t xml:space="preserve">Green &amp; Renewable Energy</t>
  </si>
  <si>
    <t xml:space="preserve">Healthcare Products</t>
  </si>
  <si>
    <t xml:space="preserve">Healthcare Services</t>
  </si>
  <si>
    <t xml:space="preserve">Heavy Construction</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</si>
  <si>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</si>
  <si>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</si>
  <si>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</si>
  <si>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</si>
  <si>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</si>
  <si>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</si>
  <si>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</si>
  <si>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(Property/Casualty)</t>
  </si>
  <si>
    <t xml:space="preserve">Investments &amp; Asset Management</t>
  </si>
  <si>
    <t xml:space="preserve">Machinery</t>
  </si>
  <si>
    <t xml:space="preserve">Metals &amp; Mining</t>
  </si>
  <si>
    <t xml:space="preserve">Office Equipment &amp; Services</t>
  </si>
  <si>
    <t xml:space="preserve">Oil/Gas (Integrated)</t>
  </si>
  <si>
    <t xml:space="preserve">Oil/Gas (Production/Exploration)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</si>
  <si>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</si>
  <si>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</si>
  <si>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</si>
  <si>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</si>
  <si>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</si>
  <si>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</si>
  <si>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</si>
  <si>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</si>
  <si>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</si>
  <si>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</si>
  <si>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</si>
  <si>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</si>
  <si>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</si>
  <si>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</si>
  <si>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</si>
  <si>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(General)</t>
  </si>
  <si>
    <t xml:space="preserve">Retail (Grocery and Food)</t>
  </si>
  <si>
    <t xml:space="preserve">Retail (Online)</t>
  </si>
  <si>
    <t xml:space="preserve">Retail (Special Lines)</t>
  </si>
  <si>
    <t xml:space="preserve">Rubber &amp; Tires</t>
  </si>
  <si>
    <t xml:space="preserve">Semiconductor</t>
  </si>
  <si>
    <t xml:space="preserve">Semiconductor Equip</t>
  </si>
  <si>
    <t xml:space="preserve">Shipbuilding &amp; Marine</t>
  </si>
  <si>
    <t xml:space="preserve">Shoe</t>
  </si>
  <si>
    <t xml:space="preserve">Software (Entertainment)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</si>
  <si>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</si>
  <si>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</si>
  <si>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</si>
  <si>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</si>
  <si>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</si>
  <si>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</si>
  <si>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</si>
  <si>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</si>
  <si>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</si>
  <si>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</si>
  <si>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</si>
  <si>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Source: Aswath Damodaran (NYU Stern) US-industry data, mid-2025 approximation. Use unlevered β as starting point; relever to target capital structure on the WACC sheet. EV/EBITDA NTM ranges are observed market trading bands — apply with judgment.</t>
  </si>
  <si>
    <t xml:space="preserve">Adjustments — EV → Equity bridge</t>
  </si>
  <si>
    <t xml:space="preserve">Applies surplus assets, net debt, minority interests, then DLOM and DLOC, to derive Fair Value of the client's equity interest. Both scenarios computed side by side.</t>
  </si>
  <si>
    <t xml:space="preserve">EV → Equity bridge</t>
  </si>
  <si>
    <t xml:space="preserve">Enterprise Value (from DCF)</t>
  </si>
  <si>
    <t xml:space="preserve">+ Surplus assets</t>
  </si>
  <si>
    <t xml:space="preserve">+ Non-operating assets</t>
  </si>
  <si>
    <t xml:space="preserve">− Net debt</t>
  </si>
  <si>
    <t xml:space="preserve">− Minority interests</t>
  </si>
  <si>
    <t xml:space="preserve">Equity value (pre-discounts)</t>
  </si>
  <si>
    <t xml:space="preserve">Marketability &amp; control discounts</t>
  </si>
  <si>
    <t xml:space="preserve">Less: DLOM</t>
  </si>
  <si>
    <t xml:space="preserve">Equity value after DLOM</t>
  </si>
  <si>
    <t xml:space="preserve">Less: DLOC</t>
  </si>
  <si>
    <t xml:space="preserve">Equity value after DLOM and DLOC</t>
  </si>
  <si>
    <t xml:space="preserve">Client's equity interest</t>
  </si>
  <si>
    <t xml:space="preserve">Equity interest held by client</t>
  </si>
  <si>
    <t xml:space="preserve">Fair value of client's interest</t>
  </si>
  <si>
    <t xml:space="preserve">Sensitivity — WACC × Terminal growth rate</t>
  </si>
  <si>
    <t xml:space="preserve">Each cell recomputes EV = Σ FCFF_y / (1+WACC)^y + FCFF_y5 × (1+g) / (WACC−g) / (1+WACC)^5. Step sizes from sens_wacc_step / sens_terminal_g_step on Inputs. Base case is current wacc_per_mgmt × terminal_growth_rate.</t>
  </si>
  <si>
    <t xml:space="preserve">Sensitivity grid: rows = WACC; columns = Terminal growth rate</t>
  </si>
  <si>
    <t xml:space="preserve">Highlighted cell = base case (current wacc_per_mgmt and terminal_growth_rate). EV in (currency × unit). Values do not include the EV→Equity bridge — apply surplus / debt / DLOM / DLOC manually for equity sensitivity.</t>
  </si>
  <si>
    <t xml:space="preserve">Headline outputs across both scenarios. Per-share values convert from (currency × unit) to actual currency using the unit selected on Inputs.</t>
  </si>
  <si>
    <t xml:space="preserve">Metric</t>
  </si>
  <si>
    <t xml:space="preserve">Average</t>
  </si>
  <si>
    <t xml:space="preserve">Headline values</t>
  </si>
  <si>
    <t xml:space="preserve">Per-share value</t>
  </si>
  <si>
    <t xml:space="preserve">Unit multiplier (to actual currency)</t>
  </si>
  <si>
    <t xml:space="preserve">shares</t>
  </si>
  <si>
    <t xml:space="preserve">Equity value per share (basic)</t>
  </si>
  <si>
    <t xml:space="preserve">actual currency</t>
  </si>
  <si>
    <t xml:space="preserve">Equity value per share (diluted)</t>
  </si>
  <si>
    <t xml:space="preserve">Discount rate inputs (reference)</t>
  </si>
  <si>
    <t xml:space="preserve">coco_tier</t>
  </si>
  <si>
    <t xml:space="preserve">BEV review</t>
  </si>
  <si>
    <t xml:space="preserve">two_tier</t>
  </si>
  <si>
    <t xml:space="preserve">exit_multiple</t>
  </si>
  <si>
    <t xml:space="preserve">HKD</t>
  </si>
  <si>
    <t xml:space="preserve">million</t>
  </si>
  <si>
    <t xml:space="preserve">declining</t>
  </si>
  <si>
    <t xml:space="preserve">Fairness opinion</t>
  </si>
  <si>
    <t xml:space="preserve">IFRS 9 + IFRS 13</t>
  </si>
  <si>
    <t xml:space="preserve">progressive</t>
  </si>
  <si>
    <t xml:space="preserve">SGD</t>
  </si>
  <si>
    <t xml:space="preserve">actual</t>
  </si>
  <si>
    <t xml:space="preserve">staged</t>
  </si>
  <si>
    <t xml:space="preserve">M&amp;A</t>
  </si>
  <si>
    <t xml:space="preserve">MYR</t>
  </si>
  <si>
    <t xml:space="preserve">Excluded</t>
  </si>
  <si>
    <t xml:space="preserve">Fundraising</t>
  </si>
  <si>
    <t xml:space="preserve">CNY</t>
  </si>
  <si>
    <t xml:space="preserve">JPY</t>
  </si>
  <si>
    <t xml:space="preserve">KRW</t>
  </si>
  <si>
    <t xml:space="preserve">EUR</t>
  </si>
  <si>
    <t xml:space="preserve">GBP</t>
  </si>
  <si>
    <t xml:space="preserve">AUD</t>
  </si>
  <si>
    <t xml:space="preserve">inputs_json_baseline</t>
  </si>
  <si>
    <t xml:space="preserve">{"engagement": {"company_name": "Sample TechCo Holdings Limited", "company_country": "SG", "company_industry_us": "Software (Internet)", "company_industry_global": "Software (Internet)", "valuation_date": "2026-03-31", "target_valuation": 500000000, "exchange_platform": "NASDAQ", "report_purpose": "IPO pricing", "accounting_standard": "IFRS", "engagement_team": {"partner": "A. Lee", "manager": "T. Wong", "department": "Valuation Advisory"}, "client_name": "Sample TechCo Holdings Limited"}, "currency": {"primary": "USD", "unit": "'000", "alt": null, "fx_rate_alt": null}, "tax": {"jurisdiction": "SG", "type": "flat", "rate_low": 0.17, "rate_high": 0.17, "threshold": null, "effective_rate_override": null}, "projections": {"years": 5, "revenue_growth_method": "per_year", "revenue_growth": [0.45, 0.3, 0.22, 0.16, 0.1], "gross_margin": [0.62, 0.64, 0.65, 0.65, 0.66], "opex_pct_revenue": [0.55, 0.5, 0.45, 0.42, 0.4], "capex_pct_revenue": [0.06, 0.05, 0.04, 0.04, 0.04], "dep_pct_revenue": [0.04, 0.04, 0.04, 0.04, 0.04], "nwc_pct_sales": [0.08, 0.08, 0.08, 0.08, 0.08], "revenue_y0": 100000, "nwc_y0": 8000}, "terminal": {"method": "gordon_growth", "growth_rate": 0.03, "exit_multiple_type": null, "exit_multiple_value": null}, "wacc": {"shared": {"risk_free_rate": 0.045, "risk_free_rate_source": "10y UST as at 2026-04-29", "equity_risk_premium": 0.055, "country_risk_premium": 0.005}, "per_management": {"unlevered_beta": 1.05, "target_debt_to_equity": 0.2, "size_premium": 0.02, "specific_risk_premium": 0.02, "pretax_cost_of_debt": 0.06, "target_debt_weight": 0.17, "target_equity_weight": 0.83}, "independent": {"unlevered_beta": 1.15, "target_debt_to_equity": 0.25, "size_premium": 0.025, "specific_risk_premium": 0.03, "pretax_cost_of_debt": 0.065, "target_debt_weight": 0.2, "target_equity_weight": 0.8}}, "cocos": [{"tier": 1, "include": true, "company": "Atlassian", "ticker": "NASDAQ:TEAM", "exchange": "NASDAQ", "business_description": "Team collaboration and productivity software (Jira, Confluence)", "selected_for_wacc": true, "country": "AU", "accounting": "US GAAP", "market_cap_usd_mm": 50000, "d_to_e": 0.05, "raw_beta": 1.2, "tax_rate": 0.21}, {"tier": 1, "include": true, "company": "Datadog", "ticker": "NASDAQ:DDOG", "exchange": "NASDAQ", "business_description": "Cloud observability and monitoring platform", "selected_for_wacc": true, "country": "US", "accounting": "US GAAP", "market_cap_usd_mm": 38000, "d_to_e": 0.1, "raw_beta": 1.3, "tax_rate": 0.21}, {"tier": 2, "include": true, "company": "MongoDB", "ticker": "NASDAQ:MDB", "exchange": "NASDAQ", "business_description": "Document-oriented NoSQL database (Atlas managed service)", "selected_for_wacc": true, "country": "US", "accounting": "US GAAP", "market_cap_usd_mm": 22000, "d_to_e": 0.08, "raw_beta": 1.25, "tax_rate": 0.21}, {"tier": 3, "include": true, "company": "Box", "ticker": "NASDAQ:BOX", "exchange": "NASDAQ", "business_description": "Cloud content management and file sharing for enterprise", "selected_for_wacc": false, "country": "US", "accounting": "US GAAP", "market_cap_usd_mm": 4500, "d_to_e": 0.35, "raw_beta": 1.1, "tax_rate": 0.21}], "precedents": [{"include": true, "date": "2024-09-12", "acquirer": "Cisco", "target": "Splunk", "ev_usd_mm": 28000, "ev_revenue": 7.2, "ev_ebitda": 24.0, "premium": 0.31, "rationale": "Strategic \u2014 observability stack"}], "bridge": {"surplus_assets": 25000, "net_debt_override": null, "minority_interests": 0, "non_operating_assets": 0, "dlom_pct": 0.2, "dloc_pct": 0.15, "equity_interest_pct": 1.0, "shares_outstanding": 250000000, "shares_outstanding_diluted": 285000000, "pre_money_pct": 0.85}, "adjustments": {"capitalize_rd": true, "rd_amortization_years": 5, "convert_operating_leases": false, "lease_discount_rate": null}, "football_field": {"weight_dcf": 0.5, "weight_comps": 0.3, "weight_precedent": 0.2, "weight_nav": 0.0, "selected_low": null, "selected_mid": null, "selected_high": null}, "sensitivity": {"wacc_step": 0.005, "wacc_count": 5, "terminal_g_step": 0.005, "terminal_g_count": 5, "revenue_g_step": 0.02, "ebitda_margin_step": 0.02}, "sources": {"company_name": {"source": "Engagement Letter", "detail": "EL dated 2026-03-15", "notes": ""}, "valuation_date": {"source": "Engagement Letter", "detail": "EL dated 2026-03-15", "notes": ""}, "revenue_y0": {"source": "Audited FS", "detail": "FY2025 Audited FS, Consolidated P&amp;L, p.34", "notes": "Last full reported year", "rationale": "Y0 revenue is taken from the most recently audited full fiscal year. This is the cascade base \u2014 every projected year multiplies forward from this number, so accuracy here matters more than any single growth assumption downstream."}, "nwc_y0": {"source": "Audited FS", "detail": "FY2025 Audited FS, Balance Sheet, p.36 (current assets ex-cash \u2212 current liabilities ex-debt)", "notes": ""}, "unlevered_beta_per_mgmt": {"source": "Calculated", "detail": "Median unlevered beta of comparable companies marked selected_for_wacc, re-levered to target capital structure", "notes": "", "rationale": "Built from the three Tier-1/2 SaaS comps marked selected_for_wacc (Atlassian, Datadog, MongoDB). Each comp's levered beta is unlevered via Hamada using the comp's own D/E and tax rate, then the median is re-levered at the target's planned capital structure inside the DCF. This produces a beta that reflects the target's industry risk and the chosen post-IPO leverage profile, rather than an arbitrary industry-average number."}, "shares_outstanding": {"source": "Prospectus", "detail": "Draft prospectus, share capital section", "notes": "Basic \u2014 diluted figure tracked separately"}, "terminal_growth_rate": {"source": "Manual", "detail": "Long-run global GDP growth proxy for software industry maturity", "notes": "", "rationale": "3.0% chosen as the long-run sustainable growth rate \u2014 sits inside the 2\u20134% band typical for mature SaaS and just below long-run US nominal GDP. Anything higher implies the company outgrows the economy indefinitely, which collapses Gordon-growth defensibility under Big-4 review."}, "tax_rate_high": {"source": "Manual", "detail": "Singapore corporate tax rate 17% flat", "notes": ""}, "risk_free_rate": {"source": "Manual", "detail": "10y UST yield 2026-04-29 close", "notes": "", "rationale": "Anchored to the 10-year UST yield because the target is pricing a Nasdaq listing; equity-cost build follows US-rate convention regardless of the SG operating base. Refreshed close to the valuation date so we are not pricing off stale-rate residuals."}, "equity_risk_premium": {"source": "Damodaran", "detail": "Damodaran ERP 2024 implied", "notes": "", "rationale": "Damodaran's implied ERP is the standard reference for US public valuations and lines up with the cost-of-equity surveys used by Big-4 fairness opinions. Chosen over historical excess returns to reflect the forward-looking risk premium investors are demanding today."}, "country_risk_premium": {"source": "Damodaran", "detail": "Damodaran Country ERP 2024, SG", "notes": ""}, "dlom_pct": {"source": "Manual", "detail": "Restricted stock studies median, 2024", "notes": "Pre-IPO", "rationale": "20% DLOM reflects the median of recent restricted-stock and pre-IPO studies for software companies 6\u201318 months from a planned listing. Applied because the holdings being valued today cannot be freely traded until lockup expiry post-listing."}, "dloc_pct": {"source": "Manual", "detail": "Mergerstat control premium inverse", "notes": "", "rationale": "15% DLOC inverts the median control premium observed in Mergerstat's recent dataset. Applied because the valuation is for a minority stake; a controlling holder would not absorb the same discount."}}, "historical_fs": {"revenue": [70000, 78000, 86000, 95000, 100000], "cogs": [-42000, -46800, -51600, -57000, -60000], "gross_profit": [28000, 31200, 34400, 38000, 40000], "opex_total": [-21000, -23400, -25800, -28500, -30000], "sga": [-15000, -16800, -18500, -20400, -21500], "rnd": [-6000, -6600, -7300, -8100, -8500], "ebitda": [7000, 7800, 8600, 9500, 10000], "da": [-2100, -2340, -2580, -2850, -3000], "ebit": [4900, 5460, 6020, 6650, 7000], "interest_expense": [-800, -800, -750, -700, -700], "other_income_expense": [0, 0, 0, 0, 0], "profit_before_tax": [4100, 4660, 5270, 5950, 6300], "tax_expense": [-984, -1118, -1265, -1428, -1512], "net_income": [3116, 3542, 4005, 4522, 4788], "cash": [3000, 3500, 4500, 5500, 6500], "accounts_receivable": [10000, 11000, 12000, 13000, 14000], "inventory": [4500, 5000, 5500, 6000, 6500], "prepaid_expenses": [800, 900, 1000, 1100, 1200], "total_current_assets": [18300, 20400, 23000, 25600, 28200], "ppe": [22000, 26000, 30000, 34000, 38000], "intangibles": [3500, 3500, 3500, 3500, 3500], "other_lt_assets": [1500, 1500, 1500, 1500, 1500], "total_assets": [45300, 51400, 58000, 64600, 71200], "accounts_payable": [-7000, -7700, -8500, -9300, -10000], "short_term_debt": [-3000, -2500, -2000, -2000, -2000], "other_current_liabilities": [-2000, -2200, -2400, -2700, -3000], "total_current_liabilities": [-12000, -12400, -12900, -14000, -15000], "long_term_debt": [-12000, -11000, -9500, -9000, -8500], "other_lt_liabilities": [-1000, -1000, -1000, -1000, -1000], "total_liabilities": [-25000, -24400, -23400, -24000, -24500], "total_equity": [20300, 27000, 34600, 40600, 46700]}, "coco_multiples": [{"ev_sales_ltm": 4.2, "ev_sales_ntm": 3.5, "ev_ebitda_ltm": 18.0, "ev_ebitda_ntm": 15.0, "pe_ltm": 26.0, "pe_ntm": 22.0}, {"ev_sales_ltm": 3.8, "ev_sales_ntm": 3.2, "ev_ebitda_ltm": 16.5, "ev_ebitda_ntm": 13.5, "pe_ltm": 24.0, "pe_ntm": 20.0}, {"ev_sales_ltm": 5.5, "ev_sales_ntm": 4.6, "ev_ebitda_ltm": 22.0, "ev_ebitda_ntm": 18.0, "pe_ltm": 32.0, "pe_ntm": 26.0}, {"ev_sales_ltm": 3.1, "ev_sales_ntm": 2.7, "ev_ebitda_ltm": 14.0, "ev_ebitda_ntm": 12.0, "pe_ltm": 21.0, "pe_ntm": 18.0}], "coco_margins": [{"gross": 0.55, "ebit": 0.18, "net": 0.12}, {"gross": 0.52, "ebit": 0.16, "net": 0.1}, {"gross": 0.62, "ebit": 0.22, "net": 0.16}, {"gross": 0.48, "ebit": 0.14, "net": 0.09}], "coco_ratios": [{"roe": 0.18, "roa": 0.08, "d_to_e": 0.2, "current_ratio": 2.1}, {"roe": 0.16, "roa": 0.07, "d_to_e": 0.25, "current_ratio": 1.9}, {"roe": 0.22, "roa": 0.1, "d_to_e": 0.15, "current_ratio": 2.5}, {"roe": 0.14, "roa": 0.06, "d_to_e": 0.3, "current_ratio": 1.7}]}</t>
  </si>
</sst>
</file>

<file path=xl/styles.xml><?xml version="1.0" encoding="utf-8"?>
<styleSheet xmlns="http://schemas.openxmlformats.org/spreadsheetml/2006/main">
  <numFmts count="12">
    <numFmt numFmtId="164" formatCode="General"/>
    <numFmt numFmtId="165" formatCode="0.0000"/>
    <numFmt numFmtId="166" formatCode="0.0%"/>
    <numFmt numFmtId="167" formatCode="#,##0"/>
    <numFmt numFmtId="168" formatCode="#,##0.0000"/>
    <numFmt numFmtId="169" formatCode="0.00%"/>
    <numFmt numFmtId="170" formatCode="0.0\×;\-0.0\×;&quot;n/a&quot;"/>
    <numFmt numFmtId="171" formatCode="0.0%;\(0.0%\);&quot;n/a&quot;"/>
    <numFmt numFmtId="172" formatCode="0.000"/>
    <numFmt numFmtId="173" formatCode="0.00"/>
    <numFmt numFmtId="174" formatCode="0.0"/>
    <numFmt numFmtId="175" formatCode="#,##0.00"/>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i val="true"/>
      <sz val="9"/>
      <color rgb="FF555555"/>
      <name val="Cambria"/>
      <family val="0"/>
      <charset val="1"/>
    </font>
    <font>
      <b val="true"/>
      <sz val="11"/>
      <name val="Cambria"/>
      <family val="0"/>
      <charset val="1"/>
    </font>
    <font>
      <sz val="10"/>
      <name val="Cambria"/>
      <family val="0"/>
      <charset val="1"/>
    </font>
    <font>
      <b val="true"/>
      <sz val="10"/>
      <name val="Cambria"/>
      <family val="0"/>
      <charset val="1"/>
    </font>
    <font>
      <b val="true"/>
      <i val="true"/>
      <sz val="10"/>
      <name val="Cambria"/>
      <family val="0"/>
      <charset val="1"/>
    </font>
    <font>
      <b val="true"/>
      <sz val="14"/>
      <name val="Cambria"/>
      <family val="0"/>
      <charset val="1"/>
    </font>
    <font>
      <sz val="9"/>
      <color rgb="FF333333"/>
      <name val="Menlo"/>
      <family val="0"/>
      <charset val="1"/>
    </font>
    <font>
      <sz val="11"/>
      <name val="Cambria"/>
      <family val="0"/>
      <charset val="1"/>
    </font>
  </fonts>
  <fills count="8">
    <fill>
      <patternFill patternType="none"/>
    </fill>
    <fill>
      <patternFill patternType="gray125"/>
    </fill>
    <fill>
      <patternFill patternType="solid">
        <fgColor rgb="FF1F3864"/>
        <bgColor rgb="FF333333"/>
      </patternFill>
    </fill>
    <fill>
      <patternFill patternType="solid">
        <fgColor rgb="FFD9E1F2"/>
        <bgColor rgb="FFF2F2F2"/>
      </patternFill>
    </fill>
    <fill>
      <patternFill patternType="solid">
        <fgColor rgb="FFFFF2CC"/>
        <bgColor rgb="FFF2F2F2"/>
      </patternFill>
    </fill>
    <fill>
      <patternFill patternType="solid">
        <fgColor rgb="FFFFFFFF"/>
        <bgColor rgb="FFF2F2F2"/>
      </patternFill>
    </fill>
    <fill>
      <patternFill patternType="solid">
        <fgColor rgb="FFF2F2F2"/>
        <bgColor rgb="FFFFFFFF"/>
      </patternFill>
    </fill>
    <fill>
      <patternFill patternType="solid">
        <fgColor rgb="FFFFE699"/>
        <bgColor rgb="FFFFF2CC"/>
      </patternFill>
    </fill>
  </fills>
  <borders count="2">
    <border diagonalUp="false" diagonalDown="false">
      <left/>
      <right/>
      <top/>
      <bottom/>
      <diagonal/>
    </border>
    <border diagonalUp="false" diagonalDown="false">
      <left style="thin">
        <color rgb="FF888888"/>
      </left>
      <right style="thin">
        <color rgb="FF888888"/>
      </right>
      <top style="thin">
        <color rgb="FF888888"/>
      </top>
      <bottom style="thin">
        <color rgb="FF88888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6" fillId="3" borderId="1" xfId="0" applyFont="true" applyBorder="true" applyAlignment="true" applyProtection="false">
      <alignment horizontal="center" vertical="bottom" textRotation="0" wrapText="false" indent="0" shrinkToFit="false"/>
      <protection locked="true" hidden="false"/>
    </xf>
    <xf numFmtId="167" fontId="8" fillId="4" borderId="1" xfId="0" applyFont="true" applyBorder="true" applyAlignment="true" applyProtection="false">
      <alignment horizontal="center" vertical="bottom" textRotation="0" wrapText="false" indent="0" shrinkToFit="false"/>
      <protection locked="true" hidden="false"/>
    </xf>
    <xf numFmtId="170" fontId="7" fillId="0" borderId="1" xfId="0" applyFont="true" applyBorder="true" applyAlignment="true" applyProtection="false">
      <alignment horizontal="center"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71" fontId="7" fillId="0" borderId="1" xfId="0" applyFont="tru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2" fontId="0" fillId="5" borderId="1" xfId="0" applyFont="false" applyBorder="true" applyAlignment="false" applyProtection="false">
      <alignment horizontal="general" vertical="bottom" textRotation="0" wrapText="false" indent="0" shrinkToFit="false"/>
      <protection locked="true" hidden="false"/>
    </xf>
    <xf numFmtId="169" fontId="0" fillId="5" borderId="1" xfId="0" applyFont="false" applyBorder="tru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67" fontId="6" fillId="5"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73" fontId="0" fillId="5" borderId="1" xfId="0" applyFont="false" applyBorder="true" applyAlignment="false" applyProtection="false">
      <alignment horizontal="general" vertical="bottom" textRotation="0" wrapText="false" indent="0" shrinkToFit="false"/>
      <protection locked="true" hidden="false"/>
    </xf>
    <xf numFmtId="174" fontId="0" fillId="5" borderId="1" xfId="0" applyFont="false" applyBorder="tru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74" fontId="12"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9" fontId="4" fillId="2" borderId="1" xfId="0" applyFont="true" applyBorder="true" applyAlignment="true" applyProtection="false">
      <alignment horizontal="center" vertical="bottom" textRotation="0" wrapText="false" indent="0" shrinkToFit="false"/>
      <protection locked="true" hidden="false"/>
    </xf>
    <xf numFmtId="167" fontId="6" fillId="7"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5" fontId="0" fillId="0"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50"/>
    <col collapsed="false" customWidth="true" hidden="false" outlineLevel="0" max="4" min="4" style="0" width="16"/>
    <col collapsed="false" customWidth="true" hidden="false" outlineLevel="0" max="5" min="5" style="0" width="32"/>
    <col collapsed="false" customWidth="true" hidden="false" outlineLevel="0" max="6" min="6" style="0" width="36"/>
  </cols>
  <sheetData>
    <row r="1" customFormat="false" ht="21.7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B4" s="3" t="s">
        <v>2</v>
      </c>
      <c r="C4" s="3"/>
      <c r="D4" s="3"/>
      <c r="E4" s="3"/>
      <c r="F4" s="3"/>
    </row>
    <row r="5" customFormat="false" ht="15" hidden="false" customHeight="false" outlineLevel="0" collapsed="false">
      <c r="B5" s="4" t="s">
        <v>3</v>
      </c>
      <c r="C5" s="5" t="str">
        <f aca="false">company_name</f>
        <v>Sample TechCo Holdings Limited</v>
      </c>
    </row>
    <row r="6" customFormat="false" ht="15" hidden="false" customHeight="false" outlineLevel="0" collapsed="false">
      <c r="B6" s="4" t="s">
        <v>4</v>
      </c>
      <c r="C6" s="5" t="str">
        <f aca="false">company_country</f>
        <v>SG</v>
      </c>
    </row>
    <row r="7" customFormat="false" ht="15" hidden="false" customHeight="false" outlineLevel="0" collapsed="false">
      <c r="B7" s="4" t="s">
        <v>5</v>
      </c>
      <c r="C7" s="5" t="str">
        <f aca="false">company_industry_us</f>
        <v>Software (Internet)</v>
      </c>
    </row>
    <row r="8" customFormat="false" ht="15" hidden="false" customHeight="false" outlineLevel="0" collapsed="false">
      <c r="B8" s="4" t="s">
        <v>6</v>
      </c>
      <c r="C8" s="5" t="str">
        <f aca="false">company_industry_global</f>
        <v>Software (Internet)</v>
      </c>
    </row>
    <row r="9" customFormat="false" ht="15" hidden="false" customHeight="false" outlineLevel="0" collapsed="false">
      <c r="B9" s="4" t="s">
        <v>7</v>
      </c>
      <c r="C9" s="5" t="str">
        <f aca="false">report_purpose</f>
        <v>IPO pricing</v>
      </c>
    </row>
    <row r="10" customFormat="false" ht="15" hidden="false" customHeight="false" outlineLevel="0" collapsed="false">
      <c r="B10" s="4" t="s">
        <v>8</v>
      </c>
      <c r="C10" s="5" t="str">
        <f aca="false">accounting_standard</f>
        <v>IFRS</v>
      </c>
    </row>
    <row r="11" customFormat="false" ht="15" hidden="false" customHeight="false" outlineLevel="0" collapsed="false">
      <c r="B11" s="4" t="s">
        <v>9</v>
      </c>
      <c r="C11" s="5" t="str">
        <f aca="false">client_name</f>
        <v>Sample TechCo Holdings Limited</v>
      </c>
    </row>
    <row r="12" customFormat="false" ht="15" hidden="false" customHeight="false" outlineLevel="0" collapsed="false">
      <c r="B12" s="4" t="s">
        <v>10</v>
      </c>
      <c r="C12" s="5" t="str">
        <f aca="false">engagement_team_partner</f>
        <v>A. Lee</v>
      </c>
    </row>
    <row r="13" customFormat="false" ht="15" hidden="false" customHeight="false" outlineLevel="0" collapsed="false">
      <c r="B13" s="4" t="s">
        <v>11</v>
      </c>
      <c r="C13" s="5" t="str">
        <f aca="false">engagement_team_manager</f>
        <v>T. Wong</v>
      </c>
    </row>
    <row r="14" customFormat="false" ht="15" hidden="false" customHeight="false" outlineLevel="0" collapsed="false">
      <c r="B14" s="4" t="s">
        <v>12</v>
      </c>
      <c r="C14" s="5" t="str">
        <f aca="false">engagement_department</f>
        <v>Valuation Advisory</v>
      </c>
    </row>
    <row r="17" customFormat="false" ht="15" hidden="false" customHeight="false" outlineLevel="0" collapsed="false">
      <c r="B17" s="3" t="s">
        <v>13</v>
      </c>
      <c r="C17" s="3"/>
      <c r="D17" s="3"/>
      <c r="E17" s="3"/>
      <c r="F17" s="3"/>
    </row>
    <row r="18" customFormat="false" ht="15" hidden="false" customHeight="false" outlineLevel="0" collapsed="false">
      <c r="B18" s="4" t="s">
        <v>14</v>
      </c>
      <c r="C18" s="5" t="str">
        <f aca="false">currency</f>
        <v>USD</v>
      </c>
    </row>
    <row r="19" customFormat="false" ht="15" hidden="false" customHeight="false" outlineLevel="0" collapsed="false">
      <c r="B19" s="4" t="s">
        <v>15</v>
      </c>
      <c r="C19" s="5" t="str">
        <f aca="false">unit</f>
        <v>'000</v>
      </c>
    </row>
    <row r="20" customFormat="false" ht="15" hidden="false" customHeight="false" outlineLevel="0" collapsed="false">
      <c r="B20" s="4" t="s">
        <v>16</v>
      </c>
      <c r="C20" s="5" t="n">
        <f aca="false">currency_alt</f>
        <v>0</v>
      </c>
    </row>
    <row r="21" customFormat="false" ht="15" hidden="false" customHeight="false" outlineLevel="0" collapsed="false">
      <c r="B21" s="4" t="s">
        <v>17</v>
      </c>
      <c r="C21" s="6" t="n">
        <f aca="false">fx_rate_alt</f>
        <v>0</v>
      </c>
    </row>
    <row r="22" customFormat="false" ht="15" hidden="false" customHeight="false" outlineLevel="0" collapsed="false">
      <c r="B22" s="7" t="s">
        <v>18</v>
      </c>
      <c r="C22" s="2" t="s">
        <v>19</v>
      </c>
      <c r="D22" s="2"/>
      <c r="E22" s="2"/>
      <c r="F22" s="2"/>
    </row>
    <row r="24" customFormat="false" ht="15" hidden="false" customHeight="false" outlineLevel="0" collapsed="false">
      <c r="B24" s="3" t="s">
        <v>20</v>
      </c>
      <c r="C24" s="3"/>
      <c r="D24" s="3"/>
      <c r="E24" s="3"/>
      <c r="F24" s="3"/>
    </row>
    <row r="25" customFormat="false" ht="15" hidden="false" customHeight="false" outlineLevel="0" collapsed="false">
      <c r="B25" s="8" t="s">
        <v>21</v>
      </c>
      <c r="C25" s="8" t="s">
        <v>22</v>
      </c>
      <c r="D25" s="8" t="s">
        <v>23</v>
      </c>
      <c r="E25" s="8" t="s">
        <v>24</v>
      </c>
    </row>
    <row r="26" customFormat="false" ht="15" hidden="false" customHeight="true" outlineLevel="0" collapsed="false">
      <c r="B26" s="4" t="s">
        <v>25</v>
      </c>
      <c r="C26" s="9" t="n">
        <f aca="false">weight_dcf</f>
        <v>0.5</v>
      </c>
      <c r="D26" s="4" t="s">
        <v>26</v>
      </c>
      <c r="E26" s="10" t="s">
        <v>27</v>
      </c>
      <c r="F26" s="10"/>
    </row>
    <row r="27" customFormat="false" ht="15" hidden="false" customHeight="true" outlineLevel="0" collapsed="false">
      <c r="B27" s="4" t="s">
        <v>28</v>
      </c>
      <c r="C27" s="9" t="n">
        <f aca="false">weight_comps</f>
        <v>0.3</v>
      </c>
      <c r="D27" s="4" t="s">
        <v>29</v>
      </c>
      <c r="E27" s="10" t="s">
        <v>30</v>
      </c>
      <c r="F27" s="10"/>
    </row>
    <row r="28" customFormat="false" ht="15" hidden="false" customHeight="true" outlineLevel="0" collapsed="false">
      <c r="B28" s="4" t="s">
        <v>31</v>
      </c>
      <c r="C28" s="9" t="n">
        <f aca="false">weight_precedent</f>
        <v>0.2</v>
      </c>
      <c r="D28" s="4" t="s">
        <v>32</v>
      </c>
      <c r="E28" s="10" t="s">
        <v>33</v>
      </c>
      <c r="F28" s="10"/>
    </row>
    <row r="29" customFormat="false" ht="15" hidden="false" customHeight="true" outlineLevel="0" collapsed="false">
      <c r="B29" s="4" t="s">
        <v>34</v>
      </c>
      <c r="C29" s="9" t="n">
        <f aca="false">weight_nav</f>
        <v>0</v>
      </c>
      <c r="D29" s="4" t="s">
        <v>35</v>
      </c>
      <c r="E29" s="10" t="s">
        <v>36</v>
      </c>
      <c r="F29" s="10"/>
    </row>
    <row r="30" customFormat="false" ht="15" hidden="false" customHeight="false" outlineLevel="0" collapsed="false">
      <c r="B30" s="11" t="s">
        <v>37</v>
      </c>
      <c r="C30" s="12" t="n">
        <f aca="false">weight_dcf+weight_comps+weight_precedent+weight_nav</f>
        <v>1</v>
      </c>
      <c r="D30" s="2" t="s">
        <v>38</v>
      </c>
      <c r="E30" s="2"/>
      <c r="F30" s="2"/>
    </row>
    <row r="33" customFormat="false" ht="15" hidden="false" customHeight="false" outlineLevel="0" collapsed="false">
      <c r="B33" s="3" t="s">
        <v>39</v>
      </c>
      <c r="C33" s="3"/>
      <c r="D33" s="3"/>
      <c r="E33" s="3"/>
      <c r="F33" s="3"/>
    </row>
    <row r="34" customFormat="false" ht="15" hidden="false" customHeight="false" outlineLevel="0" collapsed="false">
      <c r="B34" s="8" t="s">
        <v>40</v>
      </c>
      <c r="C34" s="8" t="s">
        <v>23</v>
      </c>
      <c r="D34" s="8" t="s">
        <v>41</v>
      </c>
    </row>
    <row r="35" customFormat="false" ht="15" hidden="false" customHeight="true" outlineLevel="0" collapsed="false">
      <c r="B35" s="4" t="s">
        <v>42</v>
      </c>
      <c r="C35" s="5" t="s">
        <v>43</v>
      </c>
      <c r="D35" s="10" t="s">
        <v>44</v>
      </c>
      <c r="E35" s="10"/>
      <c r="F35" s="10"/>
    </row>
    <row r="36" customFormat="false" ht="15" hidden="false" customHeight="true" outlineLevel="0" collapsed="false">
      <c r="B36" s="4" t="s">
        <v>45</v>
      </c>
      <c r="C36" s="5" t="s">
        <v>46</v>
      </c>
      <c r="D36" s="10" t="s">
        <v>47</v>
      </c>
      <c r="E36" s="10"/>
      <c r="F36" s="10"/>
    </row>
    <row r="37" customFormat="false" ht="15" hidden="false" customHeight="true" outlineLevel="0" collapsed="false">
      <c r="B37" s="4" t="s">
        <v>48</v>
      </c>
      <c r="C37" s="5" t="s">
        <v>49</v>
      </c>
      <c r="D37" s="10" t="s">
        <v>50</v>
      </c>
      <c r="E37" s="10"/>
      <c r="F37" s="10"/>
    </row>
    <row r="38" customFormat="false" ht="15" hidden="false" customHeight="true" outlineLevel="0" collapsed="false">
      <c r="B38" s="4" t="s">
        <v>51</v>
      </c>
      <c r="C38" s="5" t="s">
        <v>52</v>
      </c>
      <c r="D38" s="10" t="s">
        <v>53</v>
      </c>
      <c r="E38" s="10"/>
      <c r="F38" s="10"/>
    </row>
    <row r="39" customFormat="false" ht="15" hidden="false" customHeight="true" outlineLevel="0" collapsed="false">
      <c r="B39" s="4" t="s">
        <v>54</v>
      </c>
      <c r="C39" s="5" t="s">
        <v>55</v>
      </c>
      <c r="D39" s="10" t="s">
        <v>56</v>
      </c>
      <c r="E39" s="10"/>
      <c r="F39" s="10"/>
    </row>
    <row r="40" customFormat="false" ht="15" hidden="false" customHeight="true" outlineLevel="0" collapsed="false">
      <c r="B40" s="4" t="s">
        <v>57</v>
      </c>
      <c r="C40" s="5" t="s">
        <v>58</v>
      </c>
      <c r="D40" s="10" t="s">
        <v>59</v>
      </c>
      <c r="E40" s="10"/>
      <c r="F40" s="10"/>
    </row>
    <row r="41" customFormat="false" ht="15" hidden="false" customHeight="true" outlineLevel="0" collapsed="false">
      <c r="B41" s="4" t="s">
        <v>60</v>
      </c>
      <c r="C41" s="5" t="s">
        <v>61</v>
      </c>
      <c r="D41" s="10" t="s">
        <v>62</v>
      </c>
      <c r="E41" s="10"/>
      <c r="F41" s="10"/>
    </row>
    <row r="42" customFormat="false" ht="15" hidden="false" customHeight="true" outlineLevel="0" collapsed="false">
      <c r="B42" s="4" t="s">
        <v>63</v>
      </c>
      <c r="C42" s="5" t="s">
        <v>64</v>
      </c>
      <c r="D42" s="10" t="s">
        <v>65</v>
      </c>
      <c r="E42" s="10"/>
      <c r="F42" s="10"/>
    </row>
    <row r="43" customFormat="false" ht="15" hidden="false" customHeight="true" outlineLevel="0" collapsed="false">
      <c r="B43" s="4" t="s">
        <v>66</v>
      </c>
      <c r="C43" s="5" t="s">
        <v>67</v>
      </c>
      <c r="D43" s="10" t="s">
        <v>68</v>
      </c>
      <c r="E43" s="10"/>
      <c r="F43" s="10"/>
    </row>
    <row r="44" customFormat="false" ht="15" hidden="false" customHeight="true" outlineLevel="0" collapsed="false">
      <c r="B44" s="4" t="s">
        <v>69</v>
      </c>
      <c r="C44" s="5" t="s">
        <v>70</v>
      </c>
      <c r="D44" s="10" t="s">
        <v>71</v>
      </c>
      <c r="E44" s="10"/>
      <c r="F44" s="10"/>
    </row>
    <row r="45" customFormat="false" ht="15" hidden="false" customHeight="true" outlineLevel="0" collapsed="false">
      <c r="B45" s="4" t="s">
        <v>72</v>
      </c>
      <c r="C45" s="5" t="s">
        <v>73</v>
      </c>
      <c r="D45" s="10" t="s">
        <v>74</v>
      </c>
      <c r="E45" s="10"/>
      <c r="F45" s="10"/>
    </row>
    <row r="46" customFormat="false" ht="15" hidden="false" customHeight="true" outlineLevel="0" collapsed="false">
      <c r="B46" s="4" t="s">
        <v>75</v>
      </c>
      <c r="C46" s="5" t="s">
        <v>76</v>
      </c>
      <c r="D46" s="10" t="s">
        <v>77</v>
      </c>
      <c r="E46" s="10"/>
      <c r="F46" s="10"/>
    </row>
    <row r="47" customFormat="false" ht="15" hidden="false" customHeight="true" outlineLevel="0" collapsed="false">
      <c r="B47" s="4" t="s">
        <v>78</v>
      </c>
      <c r="C47" s="5" t="s">
        <v>79</v>
      </c>
      <c r="D47" s="10" t="s">
        <v>80</v>
      </c>
      <c r="E47" s="10"/>
      <c r="F47" s="10"/>
    </row>
    <row r="48" customFormat="false" ht="15" hidden="false" customHeight="true" outlineLevel="0" collapsed="false">
      <c r="B48" s="4" t="s">
        <v>81</v>
      </c>
      <c r="C48" s="5" t="s">
        <v>82</v>
      </c>
      <c r="D48" s="10" t="s">
        <v>83</v>
      </c>
      <c r="E48" s="10"/>
      <c r="F48" s="10"/>
    </row>
    <row r="49" customFormat="false" ht="15" hidden="false" customHeight="true" outlineLevel="0" collapsed="false">
      <c r="B49" s="4" t="s">
        <v>84</v>
      </c>
      <c r="C49" s="5" t="s">
        <v>85</v>
      </c>
      <c r="D49" s="10" t="s">
        <v>86</v>
      </c>
      <c r="E49" s="10"/>
      <c r="F49" s="10"/>
    </row>
    <row r="50" customFormat="false" ht="15" hidden="false" customHeight="true" outlineLevel="0" collapsed="false">
      <c r="B50" s="4" t="s">
        <v>87</v>
      </c>
      <c r="C50" s="5" t="s">
        <v>88</v>
      </c>
      <c r="D50" s="10" t="s">
        <v>89</v>
      </c>
      <c r="E50" s="10"/>
      <c r="F50" s="10"/>
    </row>
    <row r="51" customFormat="false" ht="15" hidden="false" customHeight="true" outlineLevel="0" collapsed="false">
      <c r="B51" s="4" t="s">
        <v>90</v>
      </c>
      <c r="C51" s="5" t="s">
        <v>91</v>
      </c>
      <c r="D51" s="10" t="s">
        <v>92</v>
      </c>
      <c r="E51" s="10"/>
      <c r="F51" s="10"/>
    </row>
    <row r="52" customFormat="false" ht="15" hidden="false" customHeight="true" outlineLevel="0" collapsed="false">
      <c r="B52" s="4" t="s">
        <v>93</v>
      </c>
      <c r="C52" s="5" t="s">
        <v>94</v>
      </c>
      <c r="D52" s="10" t="s">
        <v>95</v>
      </c>
      <c r="E52" s="10"/>
      <c r="F52" s="10"/>
    </row>
    <row r="53" customFormat="false" ht="15" hidden="false" customHeight="true" outlineLevel="0" collapsed="false">
      <c r="B53" s="4" t="s">
        <v>96</v>
      </c>
      <c r="C53" s="5" t="s">
        <v>97</v>
      </c>
      <c r="D53" s="10" t="s">
        <v>98</v>
      </c>
      <c r="E53" s="10"/>
      <c r="F53" s="10"/>
    </row>
    <row r="54" customFormat="false" ht="15" hidden="false" customHeight="true" outlineLevel="0" collapsed="false">
      <c r="B54" s="4" t="s">
        <v>99</v>
      </c>
      <c r="C54" s="5" t="s">
        <v>100</v>
      </c>
      <c r="D54" s="10" t="s">
        <v>101</v>
      </c>
      <c r="E54" s="10"/>
      <c r="F54" s="10"/>
    </row>
    <row r="57" customFormat="false" ht="15" hidden="false" customHeight="false" outlineLevel="0" collapsed="false">
      <c r="B57" s="3" t="s">
        <v>102</v>
      </c>
      <c r="C57" s="3"/>
      <c r="D57" s="3"/>
      <c r="E57" s="3"/>
      <c r="F57" s="3"/>
    </row>
    <row r="58" customFormat="false" ht="15" hidden="false" customHeight="false" outlineLevel="0" collapsed="false">
      <c r="B58" s="8" t="s">
        <v>40</v>
      </c>
      <c r="C58" s="8" t="s">
        <v>103</v>
      </c>
      <c r="D58" s="8" t="s">
        <v>23</v>
      </c>
      <c r="E58" s="8" t="s">
        <v>104</v>
      </c>
      <c r="F58" s="8" t="s">
        <v>24</v>
      </c>
    </row>
    <row r="59" customFormat="false" ht="36" hidden="false" customHeight="true" outlineLevel="0" collapsed="false">
      <c r="B59" s="13" t="s">
        <v>42</v>
      </c>
      <c r="C59" s="13" t="s">
        <v>105</v>
      </c>
      <c r="D59" s="13" t="s">
        <v>106</v>
      </c>
      <c r="E59" s="13" t="s">
        <v>107</v>
      </c>
      <c r="F59" s="13" t="s">
        <v>108</v>
      </c>
    </row>
    <row r="60" customFormat="false" ht="36" hidden="false" customHeight="true" outlineLevel="0" collapsed="false">
      <c r="B60" s="13" t="s">
        <v>45</v>
      </c>
      <c r="C60" s="13" t="s">
        <v>109</v>
      </c>
      <c r="D60" s="13" t="s">
        <v>49</v>
      </c>
      <c r="E60" s="13" t="s">
        <v>109</v>
      </c>
      <c r="F60" s="13" t="s">
        <v>110</v>
      </c>
    </row>
    <row r="61" customFormat="false" ht="36" hidden="false" customHeight="true" outlineLevel="0" collapsed="false">
      <c r="B61" s="13" t="s">
        <v>48</v>
      </c>
      <c r="C61" s="13" t="s">
        <v>111</v>
      </c>
      <c r="D61" s="13" t="s">
        <v>112</v>
      </c>
      <c r="E61" s="13" t="s">
        <v>113</v>
      </c>
      <c r="F61" s="13" t="s">
        <v>114</v>
      </c>
    </row>
    <row r="62" customFormat="false" ht="36" hidden="false" customHeight="true" outlineLevel="0" collapsed="false">
      <c r="B62" s="13" t="s">
        <v>51</v>
      </c>
      <c r="C62" s="13" t="s">
        <v>115</v>
      </c>
      <c r="D62" s="13" t="s">
        <v>49</v>
      </c>
      <c r="E62" s="13" t="s">
        <v>116</v>
      </c>
      <c r="F62" s="13" t="s">
        <v>117</v>
      </c>
    </row>
    <row r="64" customFormat="false" ht="15" hidden="false" customHeight="false" outlineLevel="0" collapsed="false">
      <c r="B64" s="3" t="s">
        <v>118</v>
      </c>
      <c r="C64" s="3"/>
      <c r="D64" s="3"/>
      <c r="E64" s="3"/>
      <c r="F64" s="3"/>
    </row>
    <row r="65" customFormat="false" ht="15" hidden="false" customHeight="false" outlineLevel="0" collapsed="false">
      <c r="B65" s="8" t="s">
        <v>119</v>
      </c>
      <c r="C65" s="8" t="s">
        <v>120</v>
      </c>
      <c r="D65" s="8" t="s">
        <v>121</v>
      </c>
      <c r="E65" s="8" t="s">
        <v>122</v>
      </c>
    </row>
    <row r="66" customFormat="false" ht="32.8" hidden="false" customHeight="false" outlineLevel="0" collapsed="false">
      <c r="B66" s="13" t="s">
        <v>88</v>
      </c>
      <c r="C66" s="13" t="s">
        <v>123</v>
      </c>
      <c r="D66" s="13" t="s">
        <v>124</v>
      </c>
      <c r="E66" s="13" t="s">
        <v>125</v>
      </c>
    </row>
    <row r="67" customFormat="false" ht="32.8" hidden="false" customHeight="false" outlineLevel="0" collapsed="false">
      <c r="B67" s="13" t="s">
        <v>91</v>
      </c>
      <c r="C67" s="13" t="s">
        <v>123</v>
      </c>
      <c r="D67" s="13" t="s">
        <v>126</v>
      </c>
      <c r="E67" s="13" t="s">
        <v>125</v>
      </c>
    </row>
    <row r="68" customFormat="false" ht="22.35" hidden="false" customHeight="false" outlineLevel="0" collapsed="false">
      <c r="B68" s="13" t="s">
        <v>127</v>
      </c>
      <c r="C68" s="13" t="s">
        <v>128</v>
      </c>
      <c r="D68" s="13" t="s">
        <v>129</v>
      </c>
      <c r="E68" s="13" t="s">
        <v>130</v>
      </c>
    </row>
    <row r="69" customFormat="false" ht="32.8" hidden="false" customHeight="false" outlineLevel="0" collapsed="false">
      <c r="B69" s="13" t="s">
        <v>131</v>
      </c>
      <c r="C69" s="13" t="s">
        <v>128</v>
      </c>
      <c r="D69" s="13" t="s">
        <v>132</v>
      </c>
      <c r="E69" s="13" t="s">
        <v>133</v>
      </c>
    </row>
    <row r="71" customFormat="false" ht="15" hidden="false" customHeight="false" outlineLevel="0" collapsed="false">
      <c r="B71" s="3" t="s">
        <v>134</v>
      </c>
      <c r="C71" s="3"/>
      <c r="D71" s="3"/>
      <c r="E71" s="3"/>
      <c r="F71" s="3"/>
    </row>
    <row r="72" customFormat="false" ht="18" hidden="false" customHeight="true" outlineLevel="0" collapsed="false">
      <c r="B72" s="14" t="s">
        <v>135</v>
      </c>
      <c r="C72" s="14"/>
      <c r="D72" s="14"/>
      <c r="E72" s="14"/>
      <c r="F72" s="14"/>
    </row>
    <row r="73" customFormat="false" ht="18" hidden="false" customHeight="true" outlineLevel="0" collapsed="false">
      <c r="B73" s="14"/>
      <c r="C73" s="14"/>
      <c r="D73" s="14"/>
      <c r="E73" s="14"/>
      <c r="F73" s="14"/>
    </row>
    <row r="74" customFormat="false" ht="18" hidden="false" customHeight="true" outlineLevel="0" collapsed="false">
      <c r="B74" s="14"/>
      <c r="C74" s="14"/>
      <c r="D74" s="14"/>
      <c r="E74" s="14"/>
      <c r="F74" s="14"/>
    </row>
    <row r="75" customFormat="false" ht="18" hidden="false" customHeight="true" outlineLevel="0" collapsed="false">
      <c r="B75" s="14"/>
      <c r="C75" s="14"/>
      <c r="D75" s="14"/>
      <c r="E75" s="14"/>
      <c r="F75" s="14"/>
    </row>
    <row r="76" customFormat="false" ht="18" hidden="false" customHeight="true" outlineLevel="0" collapsed="false">
      <c r="B76" s="14"/>
      <c r="C76" s="14"/>
      <c r="D76" s="14"/>
      <c r="E76" s="14"/>
      <c r="F76" s="14"/>
    </row>
  </sheetData>
  <mergeCells count="36">
    <mergeCell ref="A1:F1"/>
    <mergeCell ref="A2:F2"/>
    <mergeCell ref="B4:F4"/>
    <mergeCell ref="B17:F17"/>
    <mergeCell ref="C22:F22"/>
    <mergeCell ref="B24:F24"/>
    <mergeCell ref="E26:F26"/>
    <mergeCell ref="E27:F27"/>
    <mergeCell ref="E28:F28"/>
    <mergeCell ref="E29:F29"/>
    <mergeCell ref="D30:F30"/>
    <mergeCell ref="B33:F33"/>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B57:F57"/>
    <mergeCell ref="B64:F64"/>
    <mergeCell ref="B71:F71"/>
    <mergeCell ref="B72:F7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7" min="3" style="0" width="16"/>
    <col collapsed="false" customWidth="true" hidden="false" outlineLevel="0" max="8" min="8" style="0" width="24"/>
  </cols>
  <sheetData>
    <row r="1" customFormat="false" ht="21.75" hidden="false" customHeight="true" outlineLevel="0" collapsed="false">
      <c r="A1" s="1" t="s">
        <v>136</v>
      </c>
      <c r="B1" s="1"/>
      <c r="C1" s="1"/>
      <c r="D1" s="1"/>
      <c r="E1" s="1"/>
      <c r="F1" s="1"/>
      <c r="G1" s="1"/>
      <c r="H1" s="1"/>
    </row>
    <row r="2" customFormat="false" ht="15" hidden="false" customHeight="false" outlineLevel="0" collapsed="false">
      <c r="A2" s="2" t="str">
        <f aca="false">company_name &amp; " · " &amp; report_purpose</f>
        <v>Sample TechCo Holdings Limited · IPO pricing</v>
      </c>
      <c r="B2" s="2"/>
      <c r="C2" s="2"/>
      <c r="D2" s="2"/>
      <c r="E2" s="2"/>
      <c r="F2" s="2"/>
      <c r="G2" s="2"/>
      <c r="H2" s="2"/>
    </row>
    <row r="4" customFormat="false" ht="15" hidden="false" customHeight="false" outlineLevel="0" collapsed="false">
      <c r="B4" s="3" t="s">
        <v>137</v>
      </c>
      <c r="C4" s="3"/>
      <c r="D4" s="3"/>
      <c r="E4" s="3"/>
      <c r="F4" s="3"/>
      <c r="G4" s="3"/>
      <c r="H4" s="3"/>
    </row>
    <row r="5" customFormat="false" ht="15.75" hidden="false" customHeight="true" outlineLevel="0" collapsed="false">
      <c r="C5" s="15" t="s">
        <v>138</v>
      </c>
      <c r="D5" s="15" t="s">
        <v>139</v>
      </c>
      <c r="E5" s="15" t="s">
        <v>140</v>
      </c>
      <c r="F5" s="15" t="s">
        <v>70</v>
      </c>
      <c r="G5" s="15" t="s">
        <v>141</v>
      </c>
    </row>
    <row r="6" customFormat="false" ht="25.5" hidden="false" customHeight="true" outlineLevel="0" collapsed="false">
      <c r="C6" s="16" t="n">
        <f aca="false">'Valuation Summary'!C7</f>
        <v>327299.062356191</v>
      </c>
      <c r="D6" s="16" t="n">
        <f aca="false">'Valuation Summary'!C10</f>
        <v>239563.36240221</v>
      </c>
      <c r="E6" s="17" t="n">
        <f aca="false">'Valuation Summary'!C16</f>
        <v>0.958253449608839</v>
      </c>
      <c r="F6" s="18" t="n">
        <f aca="false">wacc_per_mgmt</f>
        <v>0.139055295</v>
      </c>
      <c r="G6" s="18" t="n">
        <f aca="false">terminal_growth_rate</f>
        <v>0.03</v>
      </c>
    </row>
    <row r="8" customFormat="false" ht="15" hidden="false" customHeight="false" outlineLevel="0" collapsed="false">
      <c r="B8" s="11" t="s">
        <v>142</v>
      </c>
      <c r="C8" s="19" t="n">
        <f aca="false">'Valuation Summary'!D7</f>
        <v>273676.530566287</v>
      </c>
      <c r="D8" s="19" t="n">
        <f aca="false">'Valuation Summary'!D10</f>
        <v>203100.040785075</v>
      </c>
      <c r="E8" s="20" t="n">
        <f aca="false">'Valuation Summary'!D16</f>
        <v>0.812400163140301</v>
      </c>
      <c r="F8" s="21" t="n">
        <f aca="false">wacc_indep</f>
        <v>0.1558895</v>
      </c>
      <c r="G8" s="21" t="n">
        <f aca="false">terminal_growth_rate</f>
        <v>0.03</v>
      </c>
    </row>
    <row r="11" customFormat="false" ht="15" hidden="false" customHeight="false" outlineLevel="0" collapsed="false">
      <c r="B11" s="3" t="s">
        <v>143</v>
      </c>
      <c r="C11" s="3"/>
      <c r="D11" s="3"/>
      <c r="E11" s="3"/>
      <c r="F11" s="3"/>
      <c r="G11" s="3"/>
      <c r="H11" s="3"/>
    </row>
    <row r="12" customFormat="false" ht="15" hidden="false" customHeight="false" outlineLevel="0" collapsed="false">
      <c r="B12" s="22" t="s">
        <v>21</v>
      </c>
      <c r="C12" s="22" t="s">
        <v>144</v>
      </c>
      <c r="D12" s="22" t="s">
        <v>145</v>
      </c>
      <c r="E12" s="22" t="s">
        <v>146</v>
      </c>
      <c r="F12" s="22" t="s">
        <v>22</v>
      </c>
      <c r="G12" s="22" t="s">
        <v>147</v>
      </c>
      <c r="H12" s="22" t="s">
        <v>24</v>
      </c>
    </row>
    <row r="13" customFormat="false" ht="15" hidden="false" customHeight="false" outlineLevel="0" collapsed="false">
      <c r="B13" s="23" t="s">
        <v>148</v>
      </c>
      <c r="C13" s="19" t="n">
        <f aca="false">'Football Field'!B7</f>
        <v>273676.530566287</v>
      </c>
      <c r="D13" s="19" t="n">
        <f aca="false">'Football Field'!C7</f>
        <v>300487.796461239</v>
      </c>
      <c r="E13" s="19" t="n">
        <f aca="false">'Football Field'!D7</f>
        <v>327299.062356191</v>
      </c>
      <c r="F13" s="24" t="n">
        <f aca="false">weight_dcf</f>
        <v>0.5</v>
      </c>
      <c r="G13" s="19" t="n">
        <f aca="false">'Football Field'!F7</f>
        <v>150243.898230619</v>
      </c>
      <c r="H13" s="23" t="s">
        <v>149</v>
      </c>
    </row>
    <row r="14" customFormat="false" ht="15" hidden="false" customHeight="false" outlineLevel="0" collapsed="false">
      <c r="B14" s="23" t="s">
        <v>150</v>
      </c>
      <c r="C14" s="19" t="n">
        <f aca="false">'Football Field'!B11</f>
        <v>50820.5</v>
      </c>
      <c r="D14" s="19" t="n">
        <f aca="false">'Football Field'!C11</f>
        <v>227069.333333333</v>
      </c>
      <c r="E14" s="19" t="n">
        <f aca="false">'Football Field'!D11</f>
        <v>485750</v>
      </c>
      <c r="F14" s="24" t="n">
        <f aca="false">weight_comps</f>
        <v>0.3</v>
      </c>
      <c r="G14" s="19" t="n">
        <f aca="false">'Football Field'!F11</f>
        <v>68120.8</v>
      </c>
      <c r="H14" s="23" t="s">
        <v>151</v>
      </c>
    </row>
    <row r="15" customFormat="false" ht="15" hidden="false" customHeight="false" outlineLevel="0" collapsed="false">
      <c r="B15" s="23" t="s">
        <v>31</v>
      </c>
      <c r="C15" s="19" t="n">
        <f aca="false">'Football Field'!B12</f>
        <v>0</v>
      </c>
      <c r="D15" s="19" t="n">
        <f aca="false">'Football Field'!C12</f>
        <v>243600</v>
      </c>
      <c r="E15" s="19" t="n">
        <f aca="false">'Football Field'!D12</f>
        <v>0</v>
      </c>
      <c r="F15" s="24" t="n">
        <f aca="false">weight_precedent</f>
        <v>0.2</v>
      </c>
      <c r="G15" s="19" t="n">
        <f aca="false">'Football Field'!F12</f>
        <v>48720</v>
      </c>
      <c r="H15" s="23" t="s">
        <v>151</v>
      </c>
    </row>
    <row r="17" customFormat="false" ht="15" hidden="false" customHeight="false" outlineLevel="0" collapsed="false">
      <c r="B17" s="5" t="s">
        <v>152</v>
      </c>
      <c r="G17" s="25" t="n">
        <f aca="false">'Football Field'!F16</f>
        <v>267084.698230619</v>
      </c>
    </row>
    <row r="18" customFormat="false" ht="15" hidden="false" customHeight="false" outlineLevel="0" collapsed="false">
      <c r="B18" s="11" t="s">
        <v>153</v>
      </c>
      <c r="C18" s="26" t="n">
        <f aca="false">selected_low</f>
        <v>0</v>
      </c>
      <c r="D18" s="26" t="n">
        <f aca="false">selected_mid</f>
        <v>0</v>
      </c>
      <c r="E18" s="26" t="n">
        <f aca="false">selected_high</f>
        <v>0</v>
      </c>
    </row>
    <row r="20" customFormat="false" ht="15" hidden="false" customHeight="false" outlineLevel="0" collapsed="false">
      <c r="B20" s="3" t="s">
        <v>154</v>
      </c>
      <c r="C20" s="3"/>
      <c r="D20" s="3"/>
      <c r="E20" s="3"/>
      <c r="F20" s="3"/>
      <c r="G20" s="3"/>
      <c r="H20" s="3"/>
    </row>
    <row r="21" customFormat="false" ht="15" hidden="false" customHeight="false" outlineLevel="0" collapsed="false">
      <c r="B21" s="8" t="s">
        <v>155</v>
      </c>
      <c r="C21" s="8" t="s">
        <v>156</v>
      </c>
      <c r="D21" s="8" t="s">
        <v>157</v>
      </c>
      <c r="E21" s="8" t="s">
        <v>158</v>
      </c>
      <c r="F21" s="8" t="s">
        <v>159</v>
      </c>
      <c r="G21" s="8" t="s">
        <v>160</v>
      </c>
      <c r="H21" s="8" t="s">
        <v>161</v>
      </c>
    </row>
    <row r="22" customFormat="false" ht="15" hidden="false" customHeight="false" outlineLevel="0" collapsed="false">
      <c r="B22" s="4" t="s">
        <v>162</v>
      </c>
      <c r="C22" s="27" t="n">
        <f aca="false">'CoCo Multiples'!F42</f>
        <v>2.7</v>
      </c>
      <c r="D22" s="27" t="n">
        <f aca="false">'CoCo Multiples'!F41</f>
        <v>3.075</v>
      </c>
      <c r="E22" s="28" t="n">
        <f aca="false">'CoCo Multiples'!F39</f>
        <v>3.35</v>
      </c>
      <c r="F22" s="27" t="n">
        <f aca="false">'CoCo Multiples'!F38</f>
        <v>3.775</v>
      </c>
      <c r="G22" s="27" t="n">
        <f aca="false">'CoCo Multiples'!F37</f>
        <v>4.6</v>
      </c>
      <c r="H22" s="27" t="n">
        <f aca="false">'CoCo Multiples'!F40</f>
        <v>3.5</v>
      </c>
    </row>
    <row r="23" customFormat="false" ht="15" hidden="false" customHeight="false" outlineLevel="0" collapsed="false">
      <c r="B23" s="4" t="s">
        <v>163</v>
      </c>
      <c r="C23" s="27" t="n">
        <f aca="false">'CoCo Multiples'!H42</f>
        <v>12</v>
      </c>
      <c r="D23" s="27" t="n">
        <f aca="false">'CoCo Multiples'!H41</f>
        <v>13.125</v>
      </c>
      <c r="E23" s="28" t="n">
        <f aca="false">'CoCo Multiples'!H39</f>
        <v>14.25</v>
      </c>
      <c r="F23" s="27" t="n">
        <f aca="false">'CoCo Multiples'!H38</f>
        <v>15.75</v>
      </c>
      <c r="G23" s="27" t="n">
        <f aca="false">'CoCo Multiples'!H37</f>
        <v>18</v>
      </c>
      <c r="H23" s="27" t="n">
        <f aca="false">'CoCo Multiples'!H40</f>
        <v>14.625</v>
      </c>
    </row>
    <row r="24" customFormat="false" ht="15" hidden="false" customHeight="false" outlineLevel="0" collapsed="false">
      <c r="B24" s="4" t="s">
        <v>164</v>
      </c>
      <c r="C24" s="27" t="n">
        <f aca="false">'CoCo Multiples'!J42</f>
        <v>18</v>
      </c>
      <c r="D24" s="27" t="n">
        <f aca="false">'CoCo Multiples'!J41</f>
        <v>19.5</v>
      </c>
      <c r="E24" s="28" t="n">
        <f aca="false">'CoCo Multiples'!J39</f>
        <v>21</v>
      </c>
      <c r="F24" s="27" t="n">
        <f aca="false">'CoCo Multiples'!J38</f>
        <v>23</v>
      </c>
      <c r="G24" s="27" t="n">
        <f aca="false">'CoCo Multiples'!J37</f>
        <v>26</v>
      </c>
      <c r="H24" s="27" t="n">
        <f aca="false">'CoCo Multiples'!J40</f>
        <v>21.5</v>
      </c>
    </row>
    <row r="25" customFormat="false" ht="15" hidden="false" customHeight="false" outlineLevel="0" collapsed="false">
      <c r="B25" s="4" t="s">
        <v>165</v>
      </c>
      <c r="C25" s="27" t="n">
        <f aca="false">'CoCo Multiples'!E42</f>
        <v>3.1</v>
      </c>
      <c r="D25" s="27" t="n">
        <f aca="false">'CoCo Multiples'!E41</f>
        <v>3.625</v>
      </c>
      <c r="E25" s="28" t="n">
        <f aca="false">'CoCo Multiples'!E39</f>
        <v>4</v>
      </c>
      <c r="F25" s="27" t="n">
        <f aca="false">'CoCo Multiples'!E38</f>
        <v>4.525</v>
      </c>
      <c r="G25" s="27" t="n">
        <f aca="false">'CoCo Multiples'!E37</f>
        <v>5.5</v>
      </c>
      <c r="H25" s="27" t="n">
        <f aca="false">'CoCo Multiples'!E40</f>
        <v>4.15</v>
      </c>
    </row>
    <row r="26" customFormat="false" ht="15" hidden="false" customHeight="false" outlineLevel="0" collapsed="false">
      <c r="B26" s="4" t="s">
        <v>166</v>
      </c>
      <c r="C26" s="27" t="n">
        <f aca="false">'CoCo Multiples'!G42</f>
        <v>14</v>
      </c>
      <c r="D26" s="27" t="n">
        <f aca="false">'CoCo Multiples'!G41</f>
        <v>15.875</v>
      </c>
      <c r="E26" s="28" t="n">
        <f aca="false">'CoCo Multiples'!G39</f>
        <v>17.25</v>
      </c>
      <c r="F26" s="27" t="n">
        <f aca="false">'CoCo Multiples'!G38</f>
        <v>19</v>
      </c>
      <c r="G26" s="27" t="n">
        <f aca="false">'CoCo Multiples'!G37</f>
        <v>22</v>
      </c>
      <c r="H26" s="27" t="n">
        <f aca="false">'CoCo Multiples'!G40</f>
        <v>17.625</v>
      </c>
    </row>
    <row r="27" customFormat="false" ht="15" hidden="false" customHeight="false" outlineLevel="0" collapsed="false">
      <c r="B27" s="4" t="s">
        <v>167</v>
      </c>
      <c r="C27" s="27" t="n">
        <f aca="false">'CoCo Multiples'!I42</f>
        <v>21</v>
      </c>
      <c r="D27" s="27" t="n">
        <f aca="false">'CoCo Multiples'!I41</f>
        <v>23.25</v>
      </c>
      <c r="E27" s="28" t="n">
        <f aca="false">'CoCo Multiples'!I39</f>
        <v>25</v>
      </c>
      <c r="F27" s="27" t="n">
        <f aca="false">'CoCo Multiples'!I38</f>
        <v>27.5</v>
      </c>
      <c r="G27" s="27" t="n">
        <f aca="false">'CoCo Multiples'!I37</f>
        <v>32</v>
      </c>
      <c r="H27" s="27" t="n">
        <f aca="false">'CoCo Multiples'!I40</f>
        <v>25.75</v>
      </c>
    </row>
    <row r="30" customFormat="false" ht="15" hidden="false" customHeight="false" outlineLevel="0" collapsed="false">
      <c r="B30" s="3" t="s">
        <v>168</v>
      </c>
      <c r="C30" s="3"/>
      <c r="D30" s="3"/>
      <c r="E30" s="3"/>
      <c r="F30" s="3"/>
      <c r="G30" s="3"/>
      <c r="H30" s="3"/>
    </row>
    <row r="31" customFormat="false" ht="15" hidden="false" customHeight="false" outlineLevel="0" collapsed="false">
      <c r="B31" s="2" t="s">
        <v>169</v>
      </c>
      <c r="C31" s="2"/>
      <c r="D31" s="2"/>
      <c r="E31" s="2"/>
      <c r="F31" s="2"/>
      <c r="G31" s="2"/>
      <c r="H31" s="2"/>
    </row>
    <row r="32" customFormat="false" ht="15" hidden="false" customHeight="false" outlineLevel="0" collapsed="false">
      <c r="B32" s="8" t="s">
        <v>170</v>
      </c>
      <c r="C32" s="8" t="s">
        <v>171</v>
      </c>
      <c r="D32" s="8" t="s">
        <v>172</v>
      </c>
      <c r="E32" s="8" t="s">
        <v>173</v>
      </c>
    </row>
    <row r="33" customFormat="false" ht="15" hidden="false" customHeight="false" outlineLevel="0" collapsed="false">
      <c r="B33" s="23" t="s">
        <v>174</v>
      </c>
      <c r="C33" s="19" t="n">
        <f aca="false">INDEX(Sensitivity!C7:M17,sens_wacc_count,sens_terminal_g_count)</f>
        <v>321729.715436483</v>
      </c>
      <c r="D33" s="19" t="n">
        <f aca="false">INDEX(Sensitivity!C7:M17,sens_wacc_count,sens_terminal_g_count+1)</f>
        <v>334962.228688589</v>
      </c>
      <c r="E33" s="19" t="n">
        <f aca="false">INDEX(Sensitivity!C7:M17,sens_wacc_count,sens_terminal_g_count+2)</f>
        <v>349530.613309521</v>
      </c>
    </row>
    <row r="34" customFormat="false" ht="15" hidden="false" customHeight="false" outlineLevel="0" collapsed="false">
      <c r="B34" s="23" t="s">
        <v>175</v>
      </c>
      <c r="C34" s="19" t="n">
        <f aca="false">INDEX(Sensitivity!C7:M17,sens_wacc_count+1,sens_terminal_g_count)</f>
        <v>304415.700143926</v>
      </c>
      <c r="D34" s="26" t="n">
        <f aca="false">INDEX(Sensitivity!C7:M17,sens_wacc_count+1,sens_terminal_g_count+1)</f>
        <v>316279.270733478</v>
      </c>
      <c r="E34" s="19" t="n">
        <f aca="false">INDEX(Sensitivity!C7:M17,sens_wacc_count+1,sens_terminal_g_count+2)</f>
        <v>329282.963081327</v>
      </c>
    </row>
    <row r="35" customFormat="false" ht="15" hidden="false" customHeight="false" outlineLevel="0" collapsed="false">
      <c r="B35" s="23" t="s">
        <v>176</v>
      </c>
      <c r="C35" s="19" t="n">
        <f aca="false">INDEX(Sensitivity!C7:M17,sens_wacc_count+2,sens_terminal_g_count)</f>
        <v>288605.390221203</v>
      </c>
      <c r="D35" s="19" t="n">
        <f aca="false">INDEX(Sensitivity!C7:M17,sens_wacc_count+2,sens_terminal_g_count+1)</f>
        <v>299285.376673558</v>
      </c>
      <c r="E35" s="19" t="n">
        <f aca="false">INDEX(Sensitivity!C7:M17,sens_wacc_count+2,sens_terminal_g_count+2)</f>
        <v>310944.6815948</v>
      </c>
    </row>
    <row r="38" customFormat="false" ht="15" hidden="false" customHeight="false" outlineLevel="0" collapsed="false">
      <c r="B38" s="3" t="s">
        <v>177</v>
      </c>
      <c r="C38" s="3"/>
      <c r="D38" s="3"/>
      <c r="E38" s="3"/>
      <c r="F38" s="3"/>
      <c r="G38" s="3"/>
      <c r="H38" s="3"/>
    </row>
    <row r="39" customFormat="false" ht="15" hidden="false" customHeight="false" outlineLevel="0" collapsed="false">
      <c r="B39" s="2" t="s">
        <v>178</v>
      </c>
      <c r="C39" s="2"/>
      <c r="D39" s="2"/>
      <c r="E39" s="2"/>
      <c r="F39" s="2"/>
      <c r="G39" s="2"/>
      <c r="H39" s="2"/>
    </row>
    <row r="40" customFormat="false" ht="15" hidden="false" customHeight="false" outlineLevel="0" collapsed="false">
      <c r="B40" s="8"/>
      <c r="C40" s="8" t="s">
        <v>179</v>
      </c>
      <c r="D40" s="8" t="s">
        <v>180</v>
      </c>
      <c r="E40" s="8" t="s">
        <v>181</v>
      </c>
      <c r="F40" s="8" t="s">
        <v>182</v>
      </c>
      <c r="G40" s="8" t="s">
        <v>183</v>
      </c>
    </row>
    <row r="41" customFormat="false" ht="15" hidden="false" customHeight="false" outlineLevel="0" collapsed="false">
      <c r="B41" s="29" t="s">
        <v>184</v>
      </c>
      <c r="C41" s="19" t="n">
        <f aca="false">'Historical FS'!E7</f>
        <v>86000</v>
      </c>
      <c r="D41" s="19" t="n">
        <f aca="false">'Historical FS'!F7</f>
        <v>95000</v>
      </c>
      <c r="E41" s="19" t="n">
        <f aca="false">'Historical FS'!G7</f>
        <v>100000</v>
      </c>
      <c r="F41" s="19" t="n">
        <f aca="false">revenue_y0</f>
        <v>100000</v>
      </c>
      <c r="G41" s="30" t="n">
        <f aca="false">IFERROR(revenue_y0/'Historical FS'!G7-1,"n/a")</f>
        <v>0</v>
      </c>
    </row>
    <row r="42" customFormat="false" ht="15" hidden="false" customHeight="false" outlineLevel="0" collapsed="false">
      <c r="B42" s="29" t="s">
        <v>185</v>
      </c>
      <c r="C42" s="19" t="n">
        <f aca="false">'Historical FS'!E13</f>
        <v>8600</v>
      </c>
      <c r="D42" s="19" t="n">
        <f aca="false">'Historical FS'!F13</f>
        <v>9500</v>
      </c>
      <c r="E42" s="19" t="n">
        <f aca="false">'Historical FS'!G13</f>
        <v>10000</v>
      </c>
      <c r="F42" s="19" t="s">
        <v>35</v>
      </c>
      <c r="G42" s="30" t="s">
        <v>35</v>
      </c>
    </row>
    <row r="45" customFormat="false" ht="15" hidden="false" customHeight="false" outlineLevel="0" collapsed="false">
      <c r="B45" s="2" t="s">
        <v>186</v>
      </c>
      <c r="C45" s="2"/>
      <c r="D45" s="2"/>
      <c r="E45" s="2"/>
      <c r="F45" s="2"/>
      <c r="G45" s="2"/>
      <c r="H45" s="2"/>
    </row>
  </sheetData>
  <mergeCells count="10">
    <mergeCell ref="A1:H1"/>
    <mergeCell ref="A2:H2"/>
    <mergeCell ref="B4:H4"/>
    <mergeCell ref="B11:H11"/>
    <mergeCell ref="B20:H20"/>
    <mergeCell ref="B30:H30"/>
    <mergeCell ref="B31:H31"/>
    <mergeCell ref="B38:H38"/>
    <mergeCell ref="B39:H39"/>
    <mergeCell ref="B45:H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38"/>
    <col collapsed="false" customWidth="true" hidden="false" outlineLevel="0" max="3" min="3" style="0" width="12"/>
    <col collapsed="false" customWidth="true" hidden="false" outlineLevel="0" max="5" min="4" style="0" width="18"/>
    <col collapsed="false" customWidth="true" hidden="false" outlineLevel="0" max="6" min="6" style="0" width="22"/>
    <col collapsed="false" customWidth="true" hidden="false" outlineLevel="0" max="7" min="7" style="0" width="36"/>
    <col collapsed="false" customWidth="true" hidden="false" outlineLevel="0" max="8" min="8" style="0" width="30"/>
  </cols>
  <sheetData>
    <row r="1" customFormat="false" ht="21.75" hidden="false" customHeight="true" outlineLevel="0" collapsed="false">
      <c r="A1" s="1" t="s">
        <v>187</v>
      </c>
      <c r="B1" s="1"/>
      <c r="C1" s="1"/>
      <c r="D1" s="1"/>
      <c r="E1" s="1"/>
      <c r="F1" s="1"/>
      <c r="G1" s="1"/>
      <c r="H1" s="1"/>
    </row>
    <row r="2" customFormat="false" ht="15" hidden="false" customHeight="false" outlineLevel="0" collapsed="false">
      <c r="A2" s="2" t="s">
        <v>188</v>
      </c>
      <c r="B2" s="2"/>
      <c r="C2" s="2"/>
      <c r="D2" s="2"/>
      <c r="E2" s="2"/>
      <c r="F2" s="2"/>
      <c r="G2" s="2"/>
      <c r="H2" s="2"/>
    </row>
    <row r="4" customFormat="false" ht="15" hidden="false" customHeight="false" outlineLevel="0" collapsed="false">
      <c r="A4" s="31" t="s">
        <v>189</v>
      </c>
      <c r="B4" s="31" t="s">
        <v>190</v>
      </c>
      <c r="C4" s="31" t="s">
        <v>191</v>
      </c>
      <c r="D4" s="31" t="s">
        <v>192</v>
      </c>
      <c r="E4" s="31" t="s">
        <v>193</v>
      </c>
      <c r="F4" s="31" t="s">
        <v>121</v>
      </c>
      <c r="G4" s="31" t="s">
        <v>194</v>
      </c>
      <c r="H4" s="31" t="s">
        <v>24</v>
      </c>
    </row>
    <row r="6" customFormat="false" ht="18" hidden="false" customHeight="true" outlineLevel="0" collapsed="false">
      <c r="A6" s="3" t="s">
        <v>195</v>
      </c>
      <c r="B6" s="3"/>
      <c r="C6" s="3"/>
      <c r="D6" s="3"/>
      <c r="E6" s="3"/>
      <c r="F6" s="3"/>
      <c r="G6" s="3"/>
      <c r="H6" s="3"/>
    </row>
    <row r="7" customFormat="false" ht="15" hidden="false" customHeight="false" outlineLevel="0" collapsed="false">
      <c r="A7" s="32" t="s">
        <v>196</v>
      </c>
      <c r="B7" s="4" t="s">
        <v>197</v>
      </c>
      <c r="C7" s="7" t="s">
        <v>198</v>
      </c>
      <c r="D7" s="33" t="s">
        <v>199</v>
      </c>
      <c r="E7" s="33"/>
      <c r="F7" s="34" t="s">
        <v>200</v>
      </c>
      <c r="G7" s="34" t="s">
        <v>201</v>
      </c>
      <c r="H7" s="34"/>
    </row>
    <row r="8" customFormat="false" ht="15" hidden="false" customHeight="false" outlineLevel="0" collapsed="false">
      <c r="A8" s="32" t="s">
        <v>202</v>
      </c>
      <c r="B8" s="4" t="s">
        <v>4</v>
      </c>
      <c r="C8" s="7" t="s">
        <v>203</v>
      </c>
      <c r="D8" s="33" t="s">
        <v>204</v>
      </c>
      <c r="E8" s="33"/>
      <c r="F8" s="34"/>
      <c r="G8" s="34"/>
      <c r="H8" s="34"/>
    </row>
    <row r="9" customFormat="false" ht="15" hidden="false" customHeight="false" outlineLevel="0" collapsed="false">
      <c r="A9" s="32" t="s">
        <v>205</v>
      </c>
      <c r="B9" s="4" t="s">
        <v>206</v>
      </c>
      <c r="C9" s="7" t="s">
        <v>203</v>
      </c>
      <c r="D9" s="33" t="s">
        <v>207</v>
      </c>
      <c r="E9" s="33"/>
      <c r="F9" s="34"/>
      <c r="G9" s="34"/>
      <c r="H9" s="34"/>
    </row>
    <row r="10" customFormat="false" ht="15" hidden="false" customHeight="false" outlineLevel="0" collapsed="false">
      <c r="A10" s="32" t="s">
        <v>208</v>
      </c>
      <c r="B10" s="4" t="s">
        <v>209</v>
      </c>
      <c r="C10" s="7" t="s">
        <v>203</v>
      </c>
      <c r="D10" s="33" t="s">
        <v>207</v>
      </c>
      <c r="E10" s="33"/>
      <c r="F10" s="34"/>
      <c r="G10" s="34"/>
      <c r="H10" s="34"/>
    </row>
    <row r="11" customFormat="false" ht="15" hidden="false" customHeight="false" outlineLevel="0" collapsed="false">
      <c r="A11" s="32" t="s">
        <v>210</v>
      </c>
      <c r="B11" s="4" t="s">
        <v>7</v>
      </c>
      <c r="C11" s="7" t="s">
        <v>203</v>
      </c>
      <c r="D11" s="33" t="s">
        <v>211</v>
      </c>
      <c r="E11" s="33"/>
      <c r="F11" s="34"/>
      <c r="G11" s="34"/>
      <c r="H11" s="34"/>
    </row>
    <row r="12" customFormat="false" ht="15" hidden="false" customHeight="false" outlineLevel="0" collapsed="false">
      <c r="A12" s="32" t="s">
        <v>212</v>
      </c>
      <c r="B12" s="4" t="s">
        <v>8</v>
      </c>
      <c r="C12" s="7" t="s">
        <v>203</v>
      </c>
      <c r="D12" s="33" t="s">
        <v>213</v>
      </c>
      <c r="E12" s="33"/>
      <c r="F12" s="34"/>
      <c r="G12" s="34"/>
      <c r="H12" s="34"/>
    </row>
    <row r="13" customFormat="false" ht="15" hidden="false" customHeight="false" outlineLevel="0" collapsed="false">
      <c r="A13" s="32" t="s">
        <v>214</v>
      </c>
      <c r="B13" s="4" t="s">
        <v>10</v>
      </c>
      <c r="C13" s="7" t="s">
        <v>198</v>
      </c>
      <c r="D13" s="33" t="s">
        <v>215</v>
      </c>
      <c r="E13" s="33"/>
      <c r="F13" s="34"/>
      <c r="G13" s="34"/>
      <c r="H13" s="34"/>
    </row>
    <row r="14" customFormat="false" ht="15" hidden="false" customHeight="false" outlineLevel="0" collapsed="false">
      <c r="A14" s="32" t="s">
        <v>216</v>
      </c>
      <c r="B14" s="4" t="s">
        <v>11</v>
      </c>
      <c r="C14" s="7" t="s">
        <v>198</v>
      </c>
      <c r="D14" s="33" t="s">
        <v>217</v>
      </c>
      <c r="E14" s="33"/>
      <c r="F14" s="34"/>
      <c r="G14" s="34"/>
      <c r="H14" s="34"/>
    </row>
    <row r="15" customFormat="false" ht="15" hidden="false" customHeight="false" outlineLevel="0" collapsed="false">
      <c r="A15" s="32" t="s">
        <v>218</v>
      </c>
      <c r="B15" s="4" t="s">
        <v>12</v>
      </c>
      <c r="C15" s="7" t="s">
        <v>198</v>
      </c>
      <c r="D15" s="33" t="s">
        <v>219</v>
      </c>
      <c r="E15" s="33"/>
      <c r="F15" s="34"/>
      <c r="G15" s="34"/>
      <c r="H15" s="34"/>
    </row>
    <row r="16" customFormat="false" ht="15" hidden="false" customHeight="false" outlineLevel="0" collapsed="false">
      <c r="A16" s="32" t="s">
        <v>220</v>
      </c>
      <c r="B16" s="4" t="s">
        <v>9</v>
      </c>
      <c r="C16" s="7" t="s">
        <v>198</v>
      </c>
      <c r="D16" s="33" t="s">
        <v>199</v>
      </c>
      <c r="E16" s="33"/>
      <c r="F16" s="34"/>
      <c r="G16" s="34"/>
      <c r="H16" s="34"/>
    </row>
    <row r="18" customFormat="false" ht="18" hidden="false" customHeight="true" outlineLevel="0" collapsed="false">
      <c r="A18" s="3" t="s">
        <v>221</v>
      </c>
      <c r="B18" s="3"/>
      <c r="C18" s="3"/>
      <c r="D18" s="3"/>
      <c r="E18" s="3"/>
      <c r="F18" s="3"/>
      <c r="G18" s="3"/>
      <c r="H18" s="3"/>
    </row>
    <row r="19" customFormat="false" ht="15" hidden="false" customHeight="false" outlineLevel="0" collapsed="false">
      <c r="A19" s="32" t="s">
        <v>222</v>
      </c>
      <c r="B19" s="4" t="s">
        <v>14</v>
      </c>
      <c r="C19" s="7" t="s">
        <v>203</v>
      </c>
      <c r="D19" s="33" t="s">
        <v>223</v>
      </c>
      <c r="E19" s="33"/>
      <c r="F19" s="34"/>
      <c r="G19" s="34"/>
      <c r="H19" s="34"/>
    </row>
    <row r="20" customFormat="false" ht="15" hidden="false" customHeight="false" outlineLevel="0" collapsed="false">
      <c r="A20" s="32" t="s">
        <v>224</v>
      </c>
      <c r="B20" s="4" t="s">
        <v>225</v>
      </c>
      <c r="C20" s="7" t="s">
        <v>203</v>
      </c>
      <c r="D20" s="33" t="s">
        <v>226</v>
      </c>
      <c r="E20" s="33"/>
      <c r="F20" s="34"/>
      <c r="G20" s="34"/>
      <c r="H20" s="34"/>
    </row>
    <row r="21" customFormat="false" ht="15" hidden="false" customHeight="false" outlineLevel="0" collapsed="false">
      <c r="A21" s="32" t="s">
        <v>227</v>
      </c>
      <c r="B21" s="4" t="s">
        <v>228</v>
      </c>
      <c r="C21" s="7" t="s">
        <v>203</v>
      </c>
      <c r="D21" s="33"/>
      <c r="E21" s="33"/>
      <c r="F21" s="34"/>
      <c r="G21" s="34"/>
      <c r="H21" s="34"/>
    </row>
    <row r="22" customFormat="false" ht="15" hidden="false" customHeight="false" outlineLevel="0" collapsed="false">
      <c r="A22" s="32" t="s">
        <v>229</v>
      </c>
      <c r="B22" s="4" t="s">
        <v>230</v>
      </c>
      <c r="C22" s="7" t="s">
        <v>231</v>
      </c>
      <c r="D22" s="33"/>
      <c r="E22" s="33"/>
      <c r="F22" s="34"/>
      <c r="G22" s="34"/>
      <c r="H22" s="34"/>
    </row>
    <row r="24" customFormat="false" ht="18" hidden="false" customHeight="true" outlineLevel="0" collapsed="false">
      <c r="A24" s="3" t="s">
        <v>232</v>
      </c>
      <c r="B24" s="3"/>
      <c r="C24" s="3"/>
      <c r="D24" s="3"/>
      <c r="E24" s="3"/>
      <c r="F24" s="3"/>
      <c r="G24" s="3"/>
      <c r="H24" s="3"/>
    </row>
    <row r="25" customFormat="false" ht="15" hidden="false" customHeight="false" outlineLevel="0" collapsed="false">
      <c r="A25" s="32" t="s">
        <v>233</v>
      </c>
      <c r="B25" s="4" t="s">
        <v>234</v>
      </c>
      <c r="C25" s="7" t="s">
        <v>203</v>
      </c>
      <c r="D25" s="33" t="s">
        <v>204</v>
      </c>
      <c r="E25" s="33"/>
      <c r="F25" s="34"/>
      <c r="G25" s="34"/>
      <c r="H25" s="34"/>
    </row>
    <row r="26" customFormat="false" ht="15" hidden="false" customHeight="false" outlineLevel="0" collapsed="false">
      <c r="A26" s="32" t="s">
        <v>235</v>
      </c>
      <c r="B26" s="4" t="s">
        <v>236</v>
      </c>
      <c r="C26" s="7" t="s">
        <v>203</v>
      </c>
      <c r="D26" s="33" t="s">
        <v>237</v>
      </c>
      <c r="E26" s="33"/>
      <c r="F26" s="34"/>
      <c r="G26" s="34"/>
      <c r="H26" s="35" t="s">
        <v>238</v>
      </c>
    </row>
    <row r="27" customFormat="false" ht="15" hidden="false" customHeight="false" outlineLevel="0" collapsed="false">
      <c r="A27" s="32" t="s">
        <v>239</v>
      </c>
      <c r="B27" s="4" t="s">
        <v>240</v>
      </c>
      <c r="C27" s="7" t="s">
        <v>241</v>
      </c>
      <c r="D27" s="33" t="n">
        <v>0.17</v>
      </c>
      <c r="E27" s="33"/>
      <c r="F27" s="34"/>
      <c r="G27" s="34"/>
      <c r="H27" s="34"/>
    </row>
    <row r="28" customFormat="false" ht="15" hidden="false" customHeight="false" outlineLevel="0" collapsed="false">
      <c r="A28" s="32" t="s">
        <v>242</v>
      </c>
      <c r="B28" s="4" t="s">
        <v>243</v>
      </c>
      <c r="C28" s="7" t="s">
        <v>241</v>
      </c>
      <c r="D28" s="33" t="n">
        <v>0.17</v>
      </c>
      <c r="E28" s="33"/>
      <c r="F28" s="34" t="s">
        <v>244</v>
      </c>
      <c r="G28" s="34" t="s">
        <v>245</v>
      </c>
      <c r="H28" s="34"/>
    </row>
    <row r="29" customFormat="false" ht="15" hidden="false" customHeight="false" outlineLevel="0" collapsed="false">
      <c r="A29" s="32" t="s">
        <v>246</v>
      </c>
      <c r="B29" s="4" t="s">
        <v>247</v>
      </c>
      <c r="C29" s="7" t="s">
        <v>222</v>
      </c>
      <c r="D29" s="33"/>
      <c r="E29" s="33"/>
      <c r="F29" s="34"/>
      <c r="G29" s="34"/>
      <c r="H29" s="34"/>
    </row>
    <row r="30" customFormat="false" ht="15" hidden="false" customHeight="false" outlineLevel="0" collapsed="false">
      <c r="A30" s="32" t="s">
        <v>248</v>
      </c>
      <c r="B30" s="4" t="s">
        <v>249</v>
      </c>
      <c r="C30" s="7" t="s">
        <v>241</v>
      </c>
      <c r="D30" s="33"/>
      <c r="E30" s="33"/>
      <c r="F30" s="34"/>
      <c r="G30" s="34"/>
      <c r="H30" s="34"/>
    </row>
    <row r="32" customFormat="false" ht="18" hidden="false" customHeight="true" outlineLevel="0" collapsed="false">
      <c r="A32" s="3" t="s">
        <v>250</v>
      </c>
      <c r="B32" s="3"/>
      <c r="C32" s="3"/>
      <c r="D32" s="3"/>
      <c r="E32" s="3"/>
      <c r="F32" s="3"/>
      <c r="G32" s="3"/>
      <c r="H32" s="3"/>
    </row>
    <row r="33" customFormat="false" ht="15" hidden="false" customHeight="false" outlineLevel="0" collapsed="false">
      <c r="A33" s="32" t="s">
        <v>251</v>
      </c>
      <c r="B33" s="4" t="s">
        <v>252</v>
      </c>
      <c r="C33" s="7" t="s">
        <v>231</v>
      </c>
      <c r="D33" s="33" t="n">
        <v>5</v>
      </c>
      <c r="E33" s="33"/>
      <c r="F33" s="34"/>
      <c r="G33" s="34"/>
      <c r="H33" s="34"/>
    </row>
    <row r="34" customFormat="false" ht="15" hidden="false" customHeight="false" outlineLevel="0" collapsed="false">
      <c r="A34" s="32" t="s">
        <v>253</v>
      </c>
      <c r="B34" s="4" t="s">
        <v>254</v>
      </c>
      <c r="C34" s="7" t="s">
        <v>203</v>
      </c>
      <c r="D34" s="33" t="s">
        <v>255</v>
      </c>
      <c r="E34" s="33"/>
      <c r="F34" s="34"/>
      <c r="G34" s="34"/>
      <c r="H34" s="35" t="s">
        <v>256</v>
      </c>
    </row>
    <row r="35" customFormat="false" ht="15" hidden="false" customHeight="false" outlineLevel="0" collapsed="false">
      <c r="A35" s="32" t="s">
        <v>257</v>
      </c>
      <c r="B35" s="4" t="s">
        <v>258</v>
      </c>
      <c r="C35" s="7" t="s">
        <v>222</v>
      </c>
      <c r="D35" s="33" t="n">
        <v>100000</v>
      </c>
      <c r="E35" s="33"/>
      <c r="F35" s="34" t="s">
        <v>259</v>
      </c>
      <c r="G35" s="34" t="s">
        <v>260</v>
      </c>
      <c r="H35" s="35" t="s">
        <v>261</v>
      </c>
    </row>
    <row r="36" customFormat="false" ht="15" hidden="false" customHeight="false" outlineLevel="0" collapsed="false">
      <c r="A36" s="32" t="s">
        <v>262</v>
      </c>
      <c r="B36" s="4" t="s">
        <v>263</v>
      </c>
      <c r="C36" s="7" t="s">
        <v>222</v>
      </c>
      <c r="D36" s="33" t="n">
        <v>8000</v>
      </c>
      <c r="E36" s="33"/>
      <c r="F36" s="34" t="s">
        <v>259</v>
      </c>
      <c r="G36" s="34" t="s">
        <v>264</v>
      </c>
      <c r="H36" s="35"/>
    </row>
    <row r="37" customFormat="false" ht="15" hidden="false" customHeight="false" outlineLevel="0" collapsed="false">
      <c r="A37" s="32" t="s">
        <v>265</v>
      </c>
      <c r="B37" s="4" t="s">
        <v>266</v>
      </c>
      <c r="C37" s="7" t="s">
        <v>222</v>
      </c>
      <c r="D37" s="33"/>
      <c r="E37" s="33"/>
      <c r="F37" s="34"/>
      <c r="G37" s="34"/>
      <c r="H37" s="35" t="s">
        <v>267</v>
      </c>
    </row>
    <row r="38" customFormat="false" ht="15" hidden="false" customHeight="false" outlineLevel="0" collapsed="false">
      <c r="A38" s="32" t="s">
        <v>268</v>
      </c>
      <c r="B38" s="4" t="s">
        <v>269</v>
      </c>
      <c r="C38" s="7" t="s">
        <v>222</v>
      </c>
      <c r="D38" s="33"/>
      <c r="E38" s="33"/>
      <c r="F38" s="34"/>
      <c r="G38" s="34"/>
      <c r="H38" s="35" t="s">
        <v>270</v>
      </c>
    </row>
    <row r="39" customFormat="false" ht="15" hidden="false" customHeight="false" outlineLevel="0" collapsed="false">
      <c r="A39" s="32" t="s">
        <v>271</v>
      </c>
      <c r="B39" s="4" t="s">
        <v>272</v>
      </c>
      <c r="C39" s="7" t="s">
        <v>222</v>
      </c>
      <c r="D39" s="33"/>
      <c r="E39" s="33"/>
      <c r="F39" s="34"/>
      <c r="G39" s="34"/>
      <c r="H39" s="35" t="s">
        <v>273</v>
      </c>
    </row>
    <row r="40" customFormat="false" ht="15" hidden="false" customHeight="false" outlineLevel="0" collapsed="false">
      <c r="A40" s="32" t="s">
        <v>274</v>
      </c>
      <c r="B40" s="4" t="s">
        <v>275</v>
      </c>
      <c r="C40" s="7" t="s">
        <v>222</v>
      </c>
      <c r="D40" s="33"/>
      <c r="E40" s="33"/>
      <c r="F40" s="34"/>
      <c r="G40" s="34"/>
      <c r="H40" s="35" t="s">
        <v>276</v>
      </c>
    </row>
    <row r="41" customFormat="false" ht="15" hidden="false" customHeight="false" outlineLevel="0" collapsed="false">
      <c r="A41" s="32" t="s">
        <v>277</v>
      </c>
      <c r="B41" s="4" t="s">
        <v>278</v>
      </c>
      <c r="C41" s="7" t="s">
        <v>222</v>
      </c>
      <c r="D41" s="33"/>
      <c r="E41" s="33"/>
      <c r="F41" s="34"/>
      <c r="G41" s="34"/>
      <c r="H41" s="35" t="s">
        <v>279</v>
      </c>
    </row>
    <row r="42" customFormat="false" ht="15" hidden="false" customHeight="false" outlineLevel="0" collapsed="false">
      <c r="A42" s="32" t="s">
        <v>280</v>
      </c>
      <c r="B42" s="4" t="s">
        <v>281</v>
      </c>
      <c r="C42" s="7" t="s">
        <v>222</v>
      </c>
      <c r="D42" s="33"/>
      <c r="E42" s="33"/>
      <c r="F42" s="34"/>
      <c r="G42" s="34"/>
      <c r="H42" s="35" t="s">
        <v>282</v>
      </c>
    </row>
    <row r="43" customFormat="false" ht="15" hidden="false" customHeight="false" outlineLevel="0" collapsed="false">
      <c r="A43" s="32" t="s">
        <v>283</v>
      </c>
      <c r="B43" s="4" t="s">
        <v>284</v>
      </c>
      <c r="C43" s="7" t="s">
        <v>241</v>
      </c>
      <c r="D43" s="33" t="n">
        <v>0.45</v>
      </c>
      <c r="E43" s="33"/>
      <c r="F43" s="34"/>
      <c r="G43" s="34"/>
      <c r="H43" s="34"/>
    </row>
    <row r="44" customFormat="false" ht="15" hidden="false" customHeight="false" outlineLevel="0" collapsed="false">
      <c r="A44" s="32" t="s">
        <v>285</v>
      </c>
      <c r="B44" s="4" t="s">
        <v>286</v>
      </c>
      <c r="C44" s="7" t="s">
        <v>241</v>
      </c>
      <c r="D44" s="33" t="n">
        <v>0.3</v>
      </c>
      <c r="E44" s="33"/>
      <c r="F44" s="34"/>
      <c r="G44" s="34"/>
      <c r="H44" s="34"/>
    </row>
    <row r="45" customFormat="false" ht="15" hidden="false" customHeight="false" outlineLevel="0" collapsed="false">
      <c r="A45" s="32" t="s">
        <v>287</v>
      </c>
      <c r="B45" s="4" t="s">
        <v>288</v>
      </c>
      <c r="C45" s="7" t="s">
        <v>241</v>
      </c>
      <c r="D45" s="33" t="n">
        <v>0.22</v>
      </c>
      <c r="E45" s="33"/>
      <c r="F45" s="34"/>
      <c r="G45" s="34"/>
      <c r="H45" s="34"/>
    </row>
    <row r="46" customFormat="false" ht="15" hidden="false" customHeight="false" outlineLevel="0" collapsed="false">
      <c r="A46" s="32" t="s">
        <v>289</v>
      </c>
      <c r="B46" s="4" t="s">
        <v>290</v>
      </c>
      <c r="C46" s="7" t="s">
        <v>241</v>
      </c>
      <c r="D46" s="33" t="n">
        <v>0.16</v>
      </c>
      <c r="E46" s="33"/>
      <c r="F46" s="34"/>
      <c r="G46" s="34"/>
      <c r="H46" s="34"/>
    </row>
    <row r="47" customFormat="false" ht="15" hidden="false" customHeight="false" outlineLevel="0" collapsed="false">
      <c r="A47" s="32" t="s">
        <v>291</v>
      </c>
      <c r="B47" s="4" t="s">
        <v>292</v>
      </c>
      <c r="C47" s="7" t="s">
        <v>241</v>
      </c>
      <c r="D47" s="33" t="n">
        <v>0.1</v>
      </c>
      <c r="E47" s="33"/>
      <c r="F47" s="34"/>
      <c r="G47" s="34"/>
      <c r="H47" s="34"/>
    </row>
    <row r="48" customFormat="false" ht="15" hidden="false" customHeight="false" outlineLevel="0" collapsed="false">
      <c r="A48" s="32" t="s">
        <v>293</v>
      </c>
      <c r="B48" s="4" t="s">
        <v>294</v>
      </c>
      <c r="C48" s="7" t="s">
        <v>241</v>
      </c>
      <c r="D48" s="33"/>
      <c r="E48" s="33"/>
      <c r="F48" s="34"/>
      <c r="G48" s="34"/>
      <c r="H48" s="34"/>
    </row>
    <row r="49" customFormat="false" ht="15" hidden="false" customHeight="false" outlineLevel="0" collapsed="false">
      <c r="A49" s="32" t="s">
        <v>295</v>
      </c>
      <c r="B49" s="4" t="s">
        <v>296</v>
      </c>
      <c r="C49" s="7" t="s">
        <v>241</v>
      </c>
      <c r="D49" s="33"/>
      <c r="E49" s="33"/>
      <c r="F49" s="34"/>
      <c r="G49" s="34"/>
      <c r="H49" s="34"/>
    </row>
    <row r="50" customFormat="false" ht="15" hidden="false" customHeight="false" outlineLevel="0" collapsed="false">
      <c r="A50" s="32" t="s">
        <v>297</v>
      </c>
      <c r="B50" s="4" t="s">
        <v>298</v>
      </c>
      <c r="C50" s="7" t="s">
        <v>241</v>
      </c>
      <c r="D50" s="33"/>
      <c r="E50" s="33"/>
      <c r="F50" s="34"/>
      <c r="G50" s="34"/>
      <c r="H50" s="34"/>
    </row>
    <row r="51" customFormat="false" ht="15" hidden="false" customHeight="false" outlineLevel="0" collapsed="false">
      <c r="A51" s="32" t="s">
        <v>299</v>
      </c>
      <c r="B51" s="4" t="s">
        <v>300</v>
      </c>
      <c r="C51" s="7" t="s">
        <v>241</v>
      </c>
      <c r="D51" s="33"/>
      <c r="E51" s="33"/>
      <c r="F51" s="34"/>
      <c r="G51" s="34"/>
      <c r="H51" s="34"/>
    </row>
    <row r="52" customFormat="false" ht="15" hidden="false" customHeight="false" outlineLevel="0" collapsed="false">
      <c r="A52" s="32" t="s">
        <v>301</v>
      </c>
      <c r="B52" s="4" t="s">
        <v>302</v>
      </c>
      <c r="C52" s="7" t="s">
        <v>241</v>
      </c>
      <c r="D52" s="33"/>
      <c r="E52" s="33"/>
      <c r="F52" s="34"/>
      <c r="G52" s="34"/>
      <c r="H52" s="34"/>
    </row>
    <row r="53" customFormat="false" ht="15" hidden="false" customHeight="false" outlineLevel="0" collapsed="false">
      <c r="A53" s="32" t="s">
        <v>303</v>
      </c>
      <c r="B53" s="4" t="s">
        <v>304</v>
      </c>
      <c r="C53" s="7" t="s">
        <v>241</v>
      </c>
      <c r="D53" s="33" t="n">
        <v>0.62</v>
      </c>
      <c r="E53" s="33"/>
      <c r="F53" s="34"/>
      <c r="G53" s="34"/>
      <c r="H53" s="34"/>
    </row>
    <row r="54" customFormat="false" ht="15" hidden="false" customHeight="false" outlineLevel="0" collapsed="false">
      <c r="A54" s="32" t="s">
        <v>305</v>
      </c>
      <c r="B54" s="4" t="s">
        <v>306</v>
      </c>
      <c r="C54" s="7" t="s">
        <v>241</v>
      </c>
      <c r="D54" s="33" t="n">
        <v>0.64</v>
      </c>
      <c r="E54" s="33"/>
      <c r="F54" s="34"/>
      <c r="G54" s="34"/>
      <c r="H54" s="34"/>
    </row>
    <row r="55" customFormat="false" ht="15" hidden="false" customHeight="false" outlineLevel="0" collapsed="false">
      <c r="A55" s="32" t="s">
        <v>307</v>
      </c>
      <c r="B55" s="4" t="s">
        <v>308</v>
      </c>
      <c r="C55" s="7" t="s">
        <v>241</v>
      </c>
      <c r="D55" s="33" t="n">
        <v>0.65</v>
      </c>
      <c r="E55" s="33"/>
      <c r="F55" s="34"/>
      <c r="G55" s="34"/>
      <c r="H55" s="34"/>
    </row>
    <row r="56" customFormat="false" ht="15" hidden="false" customHeight="false" outlineLevel="0" collapsed="false">
      <c r="A56" s="32" t="s">
        <v>309</v>
      </c>
      <c r="B56" s="4" t="s">
        <v>310</v>
      </c>
      <c r="C56" s="7" t="s">
        <v>241</v>
      </c>
      <c r="D56" s="33" t="n">
        <v>0.65</v>
      </c>
      <c r="E56" s="33"/>
      <c r="F56" s="34"/>
      <c r="G56" s="34"/>
      <c r="H56" s="34"/>
    </row>
    <row r="57" customFormat="false" ht="15" hidden="false" customHeight="false" outlineLevel="0" collapsed="false">
      <c r="A57" s="32" t="s">
        <v>311</v>
      </c>
      <c r="B57" s="4" t="s">
        <v>312</v>
      </c>
      <c r="C57" s="7" t="s">
        <v>241</v>
      </c>
      <c r="D57" s="33" t="n">
        <v>0.66</v>
      </c>
      <c r="E57" s="33"/>
      <c r="F57" s="34"/>
      <c r="G57" s="34"/>
      <c r="H57" s="34"/>
    </row>
    <row r="58" customFormat="false" ht="15" hidden="false" customHeight="false" outlineLevel="0" collapsed="false">
      <c r="A58" s="32" t="s">
        <v>313</v>
      </c>
      <c r="B58" s="4" t="s">
        <v>314</v>
      </c>
      <c r="C58" s="7" t="s">
        <v>241</v>
      </c>
      <c r="D58" s="33" t="n">
        <v>0.55</v>
      </c>
      <c r="E58" s="33"/>
      <c r="F58" s="34"/>
      <c r="G58" s="34"/>
      <c r="H58" s="34"/>
    </row>
    <row r="59" customFormat="false" ht="15" hidden="false" customHeight="false" outlineLevel="0" collapsed="false">
      <c r="A59" s="32" t="s">
        <v>315</v>
      </c>
      <c r="B59" s="4" t="s">
        <v>316</v>
      </c>
      <c r="C59" s="7" t="s">
        <v>241</v>
      </c>
      <c r="D59" s="33" t="n">
        <v>0.5</v>
      </c>
      <c r="E59" s="33"/>
      <c r="F59" s="34"/>
      <c r="G59" s="34"/>
      <c r="H59" s="34"/>
    </row>
    <row r="60" customFormat="false" ht="15" hidden="false" customHeight="false" outlineLevel="0" collapsed="false">
      <c r="A60" s="32" t="s">
        <v>317</v>
      </c>
      <c r="B60" s="4" t="s">
        <v>318</v>
      </c>
      <c r="C60" s="7" t="s">
        <v>241</v>
      </c>
      <c r="D60" s="33" t="n">
        <v>0.45</v>
      </c>
      <c r="E60" s="33"/>
      <c r="F60" s="34"/>
      <c r="G60" s="34"/>
      <c r="H60" s="34"/>
    </row>
    <row r="61" customFormat="false" ht="15" hidden="false" customHeight="false" outlineLevel="0" collapsed="false">
      <c r="A61" s="32" t="s">
        <v>319</v>
      </c>
      <c r="B61" s="4" t="s">
        <v>320</v>
      </c>
      <c r="C61" s="7" t="s">
        <v>241</v>
      </c>
      <c r="D61" s="33" t="n">
        <v>0.42</v>
      </c>
      <c r="E61" s="33"/>
      <c r="F61" s="34"/>
      <c r="G61" s="34"/>
      <c r="H61" s="34"/>
    </row>
    <row r="62" customFormat="false" ht="15" hidden="false" customHeight="false" outlineLevel="0" collapsed="false">
      <c r="A62" s="32" t="s">
        <v>321</v>
      </c>
      <c r="B62" s="4" t="s">
        <v>322</v>
      </c>
      <c r="C62" s="7" t="s">
        <v>241</v>
      </c>
      <c r="D62" s="33" t="n">
        <v>0.4</v>
      </c>
      <c r="E62" s="33"/>
      <c r="F62" s="34"/>
      <c r="G62" s="34"/>
      <c r="H62" s="34"/>
    </row>
    <row r="63" customFormat="false" ht="15" hidden="false" customHeight="false" outlineLevel="0" collapsed="false">
      <c r="A63" s="32" t="s">
        <v>323</v>
      </c>
      <c r="B63" s="4" t="s">
        <v>324</v>
      </c>
      <c r="C63" s="7" t="s">
        <v>241</v>
      </c>
      <c r="D63" s="33" t="n">
        <v>0.06</v>
      </c>
      <c r="E63" s="33"/>
      <c r="F63" s="34"/>
      <c r="G63" s="34"/>
      <c r="H63" s="34"/>
    </row>
    <row r="64" customFormat="false" ht="15" hidden="false" customHeight="false" outlineLevel="0" collapsed="false">
      <c r="A64" s="32" t="s">
        <v>325</v>
      </c>
      <c r="B64" s="4" t="s">
        <v>326</v>
      </c>
      <c r="C64" s="7" t="s">
        <v>241</v>
      </c>
      <c r="D64" s="33" t="n">
        <v>0.05</v>
      </c>
      <c r="E64" s="33"/>
      <c r="F64" s="34"/>
      <c r="G64" s="34"/>
      <c r="H64" s="34"/>
    </row>
    <row r="65" customFormat="false" ht="15" hidden="false" customHeight="false" outlineLevel="0" collapsed="false">
      <c r="A65" s="32" t="s">
        <v>327</v>
      </c>
      <c r="B65" s="4" t="s">
        <v>328</v>
      </c>
      <c r="C65" s="7" t="s">
        <v>241</v>
      </c>
      <c r="D65" s="33" t="n">
        <v>0.04</v>
      </c>
      <c r="E65" s="33"/>
      <c r="F65" s="34"/>
      <c r="G65" s="34"/>
      <c r="H65" s="34"/>
    </row>
    <row r="66" customFormat="false" ht="15" hidden="false" customHeight="false" outlineLevel="0" collapsed="false">
      <c r="A66" s="32" t="s">
        <v>329</v>
      </c>
      <c r="B66" s="4" t="s">
        <v>330</v>
      </c>
      <c r="C66" s="7" t="s">
        <v>241</v>
      </c>
      <c r="D66" s="33" t="n">
        <v>0.04</v>
      </c>
      <c r="E66" s="33"/>
      <c r="F66" s="34"/>
      <c r="G66" s="34"/>
      <c r="H66" s="34"/>
    </row>
    <row r="67" customFormat="false" ht="15" hidden="false" customHeight="false" outlineLevel="0" collapsed="false">
      <c r="A67" s="32" t="s">
        <v>331</v>
      </c>
      <c r="B67" s="4" t="s">
        <v>332</v>
      </c>
      <c r="C67" s="7" t="s">
        <v>241</v>
      </c>
      <c r="D67" s="33" t="n">
        <v>0.04</v>
      </c>
      <c r="E67" s="33"/>
      <c r="F67" s="34"/>
      <c r="G67" s="34"/>
      <c r="H67" s="34"/>
    </row>
    <row r="68" customFormat="false" ht="15" hidden="false" customHeight="false" outlineLevel="0" collapsed="false">
      <c r="A68" s="32" t="s">
        <v>333</v>
      </c>
      <c r="B68" s="4" t="s">
        <v>334</v>
      </c>
      <c r="C68" s="7" t="s">
        <v>241</v>
      </c>
      <c r="D68" s="33" t="n">
        <v>0.04</v>
      </c>
      <c r="E68" s="33"/>
      <c r="F68" s="34"/>
      <c r="G68" s="34"/>
      <c r="H68" s="34"/>
    </row>
    <row r="69" customFormat="false" ht="15" hidden="false" customHeight="false" outlineLevel="0" collapsed="false">
      <c r="A69" s="32" t="s">
        <v>335</v>
      </c>
      <c r="B69" s="4" t="s">
        <v>336</v>
      </c>
      <c r="C69" s="7" t="s">
        <v>241</v>
      </c>
      <c r="D69" s="33" t="n">
        <v>0.04</v>
      </c>
      <c r="E69" s="33"/>
      <c r="F69" s="34"/>
      <c r="G69" s="34"/>
      <c r="H69" s="34"/>
    </row>
    <row r="70" customFormat="false" ht="15" hidden="false" customHeight="false" outlineLevel="0" collapsed="false">
      <c r="A70" s="32" t="s">
        <v>337</v>
      </c>
      <c r="B70" s="4" t="s">
        <v>338</v>
      </c>
      <c r="C70" s="7" t="s">
        <v>241</v>
      </c>
      <c r="D70" s="33" t="n">
        <v>0.04</v>
      </c>
      <c r="E70" s="33"/>
      <c r="F70" s="34"/>
      <c r="G70" s="34"/>
      <c r="H70" s="34"/>
    </row>
    <row r="71" customFormat="false" ht="15" hidden="false" customHeight="false" outlineLevel="0" collapsed="false">
      <c r="A71" s="32" t="s">
        <v>339</v>
      </c>
      <c r="B71" s="4" t="s">
        <v>340</v>
      </c>
      <c r="C71" s="7" t="s">
        <v>241</v>
      </c>
      <c r="D71" s="33" t="n">
        <v>0.04</v>
      </c>
      <c r="E71" s="33"/>
      <c r="F71" s="34"/>
      <c r="G71" s="34"/>
      <c r="H71" s="34"/>
    </row>
    <row r="72" customFormat="false" ht="15" hidden="false" customHeight="false" outlineLevel="0" collapsed="false">
      <c r="A72" s="32" t="s">
        <v>341</v>
      </c>
      <c r="B72" s="4" t="s">
        <v>342</v>
      </c>
      <c r="C72" s="7" t="s">
        <v>241</v>
      </c>
      <c r="D72" s="33" t="n">
        <v>0.04</v>
      </c>
      <c r="E72" s="33"/>
      <c r="F72" s="34"/>
      <c r="G72" s="34"/>
      <c r="H72" s="34"/>
    </row>
    <row r="73" customFormat="false" ht="15" hidden="false" customHeight="false" outlineLevel="0" collapsed="false">
      <c r="A73" s="32" t="s">
        <v>343</v>
      </c>
      <c r="B73" s="4" t="s">
        <v>344</v>
      </c>
      <c r="C73" s="7" t="s">
        <v>241</v>
      </c>
      <c r="D73" s="33" t="n">
        <v>0.08</v>
      </c>
      <c r="E73" s="33"/>
      <c r="F73" s="34"/>
      <c r="G73" s="34"/>
      <c r="H73" s="34"/>
    </row>
    <row r="74" customFormat="false" ht="15" hidden="false" customHeight="false" outlineLevel="0" collapsed="false">
      <c r="A74" s="32" t="s">
        <v>345</v>
      </c>
      <c r="B74" s="4" t="s">
        <v>346</v>
      </c>
      <c r="C74" s="7" t="s">
        <v>241</v>
      </c>
      <c r="D74" s="33" t="n">
        <v>0.08</v>
      </c>
      <c r="E74" s="33"/>
      <c r="F74" s="34"/>
      <c r="G74" s="34"/>
      <c r="H74" s="34"/>
    </row>
    <row r="75" customFormat="false" ht="15" hidden="false" customHeight="false" outlineLevel="0" collapsed="false">
      <c r="A75" s="32" t="s">
        <v>347</v>
      </c>
      <c r="B75" s="4" t="s">
        <v>348</v>
      </c>
      <c r="C75" s="7" t="s">
        <v>241</v>
      </c>
      <c r="D75" s="33" t="n">
        <v>0.08</v>
      </c>
      <c r="E75" s="33"/>
      <c r="F75" s="34"/>
      <c r="G75" s="34"/>
      <c r="H75" s="34"/>
    </row>
    <row r="76" customFormat="false" ht="15" hidden="false" customHeight="false" outlineLevel="0" collapsed="false">
      <c r="A76" s="32" t="s">
        <v>349</v>
      </c>
      <c r="B76" s="4" t="s">
        <v>350</v>
      </c>
      <c r="C76" s="7" t="s">
        <v>241</v>
      </c>
      <c r="D76" s="33" t="n">
        <v>0.08</v>
      </c>
      <c r="E76" s="33"/>
      <c r="F76" s="34"/>
      <c r="G76" s="34"/>
      <c r="H76" s="34"/>
    </row>
    <row r="77" customFormat="false" ht="15" hidden="false" customHeight="false" outlineLevel="0" collapsed="false">
      <c r="A77" s="32" t="s">
        <v>351</v>
      </c>
      <c r="B77" s="4" t="s">
        <v>352</v>
      </c>
      <c r="C77" s="7" t="s">
        <v>241</v>
      </c>
      <c r="D77" s="33" t="n">
        <v>0.08</v>
      </c>
      <c r="E77" s="33"/>
      <c r="F77" s="34"/>
      <c r="G77" s="34"/>
      <c r="H77" s="34"/>
    </row>
    <row r="79" customFormat="false" ht="18" hidden="false" customHeight="true" outlineLevel="0" collapsed="false">
      <c r="A79" s="3" t="s">
        <v>353</v>
      </c>
      <c r="B79" s="3"/>
      <c r="C79" s="3"/>
      <c r="D79" s="3"/>
      <c r="E79" s="3"/>
      <c r="F79" s="3"/>
      <c r="G79" s="3"/>
      <c r="H79" s="3"/>
    </row>
    <row r="80" customFormat="false" ht="15" hidden="false" customHeight="false" outlineLevel="0" collapsed="false">
      <c r="A80" s="32" t="s">
        <v>354</v>
      </c>
      <c r="B80" s="4" t="s">
        <v>355</v>
      </c>
      <c r="C80" s="7" t="s">
        <v>203</v>
      </c>
      <c r="D80" s="33" t="s">
        <v>356</v>
      </c>
      <c r="E80" s="33"/>
      <c r="F80" s="34"/>
      <c r="G80" s="34"/>
      <c r="H80" s="35" t="s">
        <v>357</v>
      </c>
    </row>
    <row r="81" customFormat="false" ht="15" hidden="false" customHeight="false" outlineLevel="0" collapsed="false">
      <c r="A81" s="32" t="s">
        <v>358</v>
      </c>
      <c r="B81" s="4" t="s">
        <v>359</v>
      </c>
      <c r="C81" s="7" t="s">
        <v>241</v>
      </c>
      <c r="D81" s="33" t="n">
        <v>0.03</v>
      </c>
      <c r="E81" s="33"/>
      <c r="F81" s="34" t="s">
        <v>244</v>
      </c>
      <c r="G81" s="34" t="s">
        <v>360</v>
      </c>
      <c r="H81" s="34"/>
    </row>
    <row r="82" customFormat="false" ht="15" hidden="false" customHeight="false" outlineLevel="0" collapsed="false">
      <c r="A82" s="32" t="s">
        <v>361</v>
      </c>
      <c r="B82" s="4" t="s">
        <v>362</v>
      </c>
      <c r="C82" s="7" t="s">
        <v>203</v>
      </c>
      <c r="D82" s="33"/>
      <c r="E82" s="33"/>
      <c r="F82" s="34"/>
      <c r="G82" s="34"/>
      <c r="H82" s="34"/>
    </row>
    <row r="83" customFormat="false" ht="15" hidden="false" customHeight="false" outlineLevel="0" collapsed="false">
      <c r="A83" s="32" t="s">
        <v>363</v>
      </c>
      <c r="B83" s="4" t="s">
        <v>364</v>
      </c>
      <c r="C83" s="7" t="s">
        <v>231</v>
      </c>
      <c r="D83" s="33"/>
      <c r="E83" s="33"/>
      <c r="F83" s="34"/>
      <c r="G83" s="34"/>
      <c r="H83" s="34"/>
    </row>
    <row r="84" customFormat="false" ht="15" hidden="false" customHeight="false" outlineLevel="0" collapsed="false">
      <c r="A84" s="32" t="s">
        <v>365</v>
      </c>
      <c r="B84" s="4" t="s">
        <v>366</v>
      </c>
      <c r="C84" s="7" t="s">
        <v>241</v>
      </c>
      <c r="D84" s="33"/>
      <c r="E84" s="33"/>
      <c r="F84" s="34"/>
      <c r="G84" s="34"/>
      <c r="H84" s="35" t="s">
        <v>367</v>
      </c>
    </row>
    <row r="86" customFormat="false" ht="18" hidden="false" customHeight="true" outlineLevel="0" collapsed="false">
      <c r="A86" s="3" t="s">
        <v>368</v>
      </c>
      <c r="B86" s="3"/>
      <c r="C86" s="3"/>
      <c r="D86" s="3"/>
      <c r="E86" s="3"/>
      <c r="F86" s="3"/>
      <c r="G86" s="3"/>
      <c r="H86" s="3"/>
    </row>
    <row r="87" customFormat="false" ht="15" hidden="false" customHeight="false" outlineLevel="0" collapsed="false">
      <c r="A87" s="32" t="s">
        <v>369</v>
      </c>
      <c r="B87" s="4" t="s">
        <v>127</v>
      </c>
      <c r="C87" s="7" t="s">
        <v>241</v>
      </c>
      <c r="D87" s="33" t="n">
        <v>0.045</v>
      </c>
      <c r="E87" s="33"/>
      <c r="F87" s="34" t="s">
        <v>244</v>
      </c>
      <c r="G87" s="34" t="s">
        <v>370</v>
      </c>
      <c r="H87" s="34"/>
    </row>
    <row r="88" customFormat="false" ht="15" hidden="false" customHeight="false" outlineLevel="0" collapsed="false">
      <c r="A88" s="32" t="s">
        <v>371</v>
      </c>
      <c r="B88" s="4" t="s">
        <v>372</v>
      </c>
      <c r="C88" s="7" t="s">
        <v>198</v>
      </c>
      <c r="D88" s="33" t="s">
        <v>373</v>
      </c>
      <c r="E88" s="33"/>
      <c r="F88" s="34"/>
      <c r="G88" s="34"/>
      <c r="H88" s="34"/>
    </row>
    <row r="89" customFormat="false" ht="15" hidden="false" customHeight="false" outlineLevel="0" collapsed="false">
      <c r="A89" s="32" t="s">
        <v>374</v>
      </c>
      <c r="B89" s="4" t="s">
        <v>375</v>
      </c>
      <c r="C89" s="7" t="s">
        <v>241</v>
      </c>
      <c r="D89" s="33" t="n">
        <v>0.055</v>
      </c>
      <c r="E89" s="33"/>
      <c r="F89" s="34" t="s">
        <v>376</v>
      </c>
      <c r="G89" s="34" t="s">
        <v>377</v>
      </c>
      <c r="H89" s="34"/>
    </row>
    <row r="90" customFormat="false" ht="15" hidden="false" customHeight="false" outlineLevel="0" collapsed="false">
      <c r="A90" s="32" t="s">
        <v>378</v>
      </c>
      <c r="B90" s="4" t="s">
        <v>379</v>
      </c>
      <c r="C90" s="7" t="s">
        <v>241</v>
      </c>
      <c r="D90" s="33" t="n">
        <v>0.005</v>
      </c>
      <c r="E90" s="33"/>
      <c r="F90" s="34" t="s">
        <v>376</v>
      </c>
      <c r="G90" s="34" t="s">
        <v>380</v>
      </c>
      <c r="H90" s="34"/>
    </row>
    <row r="91" customFormat="false" ht="15" hidden="false" customHeight="false" outlineLevel="0" collapsed="false">
      <c r="A91" s="32" t="s">
        <v>381</v>
      </c>
      <c r="B91" s="4" t="s">
        <v>382</v>
      </c>
      <c r="C91" s="7" t="s">
        <v>231</v>
      </c>
      <c r="D91" s="33" t="n">
        <v>1.05</v>
      </c>
      <c r="E91" s="33" t="n">
        <v>1.15</v>
      </c>
      <c r="F91" s="34" t="s">
        <v>383</v>
      </c>
      <c r="G91" s="34" t="s">
        <v>384</v>
      </c>
      <c r="H91" s="34"/>
    </row>
    <row r="92" customFormat="false" ht="15" hidden="false" customHeight="false" outlineLevel="0" collapsed="false">
      <c r="A92" s="32" t="s">
        <v>385</v>
      </c>
      <c r="B92" s="4" t="s">
        <v>386</v>
      </c>
      <c r="C92" s="7" t="s">
        <v>241</v>
      </c>
      <c r="D92" s="33" t="n">
        <v>0.2</v>
      </c>
      <c r="E92" s="33" t="n">
        <v>0.25</v>
      </c>
      <c r="F92" s="34"/>
      <c r="G92" s="34"/>
      <c r="H92" s="34"/>
    </row>
    <row r="93" customFormat="false" ht="15" hidden="false" customHeight="false" outlineLevel="0" collapsed="false">
      <c r="A93" s="32" t="s">
        <v>387</v>
      </c>
      <c r="B93" s="4" t="s">
        <v>388</v>
      </c>
      <c r="C93" s="7" t="s">
        <v>231</v>
      </c>
      <c r="D93" s="36" t="n">
        <f aca="false">WACC!E10</f>
        <v>1.2243</v>
      </c>
      <c r="E93" s="36" t="n">
        <f aca="false">WACC!F10</f>
        <v>1.388625</v>
      </c>
      <c r="F93" s="34"/>
      <c r="G93" s="34"/>
      <c r="H93" s="34"/>
    </row>
    <row r="94" customFormat="false" ht="15" hidden="false" customHeight="false" outlineLevel="0" collapsed="false">
      <c r="A94" s="32" t="s">
        <v>389</v>
      </c>
      <c r="B94" s="4" t="s">
        <v>390</v>
      </c>
      <c r="C94" s="7" t="s">
        <v>241</v>
      </c>
      <c r="D94" s="33" t="n">
        <v>0.02</v>
      </c>
      <c r="E94" s="33" t="n">
        <v>0.025</v>
      </c>
      <c r="F94" s="34"/>
      <c r="G94" s="34"/>
      <c r="H94" s="34"/>
    </row>
    <row r="95" customFormat="false" ht="15" hidden="false" customHeight="false" outlineLevel="0" collapsed="false">
      <c r="A95" s="32" t="s">
        <v>391</v>
      </c>
      <c r="B95" s="4" t="s">
        <v>392</v>
      </c>
      <c r="C95" s="7" t="s">
        <v>241</v>
      </c>
      <c r="D95" s="33" t="n">
        <v>0.02</v>
      </c>
      <c r="E95" s="33" t="n">
        <v>0.03</v>
      </c>
      <c r="F95" s="34"/>
      <c r="G95" s="34"/>
      <c r="H95" s="34"/>
    </row>
    <row r="96" customFormat="false" ht="15" hidden="false" customHeight="false" outlineLevel="0" collapsed="false">
      <c r="A96" s="32" t="s">
        <v>393</v>
      </c>
      <c r="B96" s="4" t="s">
        <v>394</v>
      </c>
      <c r="C96" s="7" t="s">
        <v>241</v>
      </c>
      <c r="D96" s="37" t="n">
        <f aca="false">WACC!E16</f>
        <v>0.1573365</v>
      </c>
      <c r="E96" s="37" t="n">
        <f aca="false">WACC!F16</f>
        <v>0.181374375</v>
      </c>
      <c r="F96" s="34"/>
      <c r="G96" s="34"/>
      <c r="H96" s="34"/>
    </row>
    <row r="97" customFormat="false" ht="15" hidden="false" customHeight="false" outlineLevel="0" collapsed="false">
      <c r="A97" s="32" t="s">
        <v>395</v>
      </c>
      <c r="B97" s="4" t="s">
        <v>396</v>
      </c>
      <c r="C97" s="7" t="s">
        <v>241</v>
      </c>
      <c r="D97" s="33" t="n">
        <v>0.06</v>
      </c>
      <c r="E97" s="33" t="n">
        <v>0.065</v>
      </c>
      <c r="F97" s="34"/>
      <c r="G97" s="34"/>
      <c r="H97" s="34"/>
    </row>
    <row r="98" customFormat="false" ht="15" hidden="false" customHeight="false" outlineLevel="0" collapsed="false">
      <c r="A98" s="32" t="s">
        <v>397</v>
      </c>
      <c r="B98" s="4" t="s">
        <v>398</v>
      </c>
      <c r="C98" s="7" t="s">
        <v>241</v>
      </c>
      <c r="D98" s="37" t="n">
        <f aca="false">WACC!E20</f>
        <v>0.0498</v>
      </c>
      <c r="E98" s="37" t="n">
        <f aca="false">WACC!F20</f>
        <v>0.05395</v>
      </c>
      <c r="F98" s="34"/>
      <c r="G98" s="34"/>
      <c r="H98" s="34"/>
    </row>
    <row r="99" customFormat="false" ht="15" hidden="false" customHeight="false" outlineLevel="0" collapsed="false">
      <c r="A99" s="32" t="s">
        <v>399</v>
      </c>
      <c r="B99" s="4" t="s">
        <v>400</v>
      </c>
      <c r="C99" s="7" t="s">
        <v>241</v>
      </c>
      <c r="D99" s="33" t="n">
        <v>0.17</v>
      </c>
      <c r="E99" s="33" t="n">
        <v>0.2</v>
      </c>
      <c r="F99" s="34"/>
      <c r="G99" s="34"/>
      <c r="H99" s="34"/>
    </row>
    <row r="100" customFormat="false" ht="15" hidden="false" customHeight="false" outlineLevel="0" collapsed="false">
      <c r="A100" s="32" t="s">
        <v>401</v>
      </c>
      <c r="B100" s="4" t="s">
        <v>402</v>
      </c>
      <c r="C100" s="7" t="s">
        <v>241</v>
      </c>
      <c r="D100" s="33" t="n">
        <v>0.83</v>
      </c>
      <c r="E100" s="33" t="n">
        <v>0.8</v>
      </c>
      <c r="F100" s="34"/>
      <c r="G100" s="34"/>
      <c r="H100" s="34"/>
    </row>
    <row r="101" customFormat="false" ht="15" hidden="false" customHeight="false" outlineLevel="0" collapsed="false">
      <c r="A101" s="32" t="s">
        <v>403</v>
      </c>
      <c r="B101" s="4" t="s">
        <v>404</v>
      </c>
      <c r="C101" s="7" t="s">
        <v>241</v>
      </c>
      <c r="D101" s="37" t="n">
        <f aca="false">WACC!E25</f>
        <v>0.139055295</v>
      </c>
      <c r="E101" s="37" t="n">
        <f aca="false">WACC!F25</f>
        <v>0.1558895</v>
      </c>
      <c r="F101" s="34"/>
      <c r="G101" s="34"/>
      <c r="H101" s="34"/>
    </row>
    <row r="103" customFormat="false" ht="18" hidden="false" customHeight="true" outlineLevel="0" collapsed="false">
      <c r="A103" s="3" t="s">
        <v>405</v>
      </c>
      <c r="B103" s="3"/>
      <c r="C103" s="3"/>
      <c r="D103" s="3"/>
      <c r="E103" s="3"/>
      <c r="F103" s="3"/>
      <c r="G103" s="3"/>
      <c r="H103" s="3"/>
    </row>
    <row r="104" customFormat="false" ht="15" hidden="false" customHeight="false" outlineLevel="0" collapsed="false">
      <c r="A104" s="32" t="s">
        <v>406</v>
      </c>
      <c r="B104" s="4" t="s">
        <v>407</v>
      </c>
      <c r="C104" s="7" t="s">
        <v>222</v>
      </c>
      <c r="D104" s="33" t="n">
        <v>25000</v>
      </c>
      <c r="E104" s="33"/>
      <c r="F104" s="34"/>
      <c r="G104" s="34"/>
      <c r="H104" s="34"/>
    </row>
    <row r="105" customFormat="false" ht="15" hidden="false" customHeight="false" outlineLevel="0" collapsed="false">
      <c r="A105" s="32" t="s">
        <v>408</v>
      </c>
      <c r="B105" s="4" t="s">
        <v>409</v>
      </c>
      <c r="C105" s="7" t="s">
        <v>222</v>
      </c>
      <c r="D105" s="33"/>
      <c r="E105" s="33"/>
      <c r="F105" s="34"/>
      <c r="G105" s="34"/>
      <c r="H105" s="34"/>
    </row>
    <row r="106" customFormat="false" ht="15" hidden="false" customHeight="false" outlineLevel="0" collapsed="false">
      <c r="A106" s="32" t="s">
        <v>410</v>
      </c>
      <c r="B106" s="4" t="s">
        <v>411</v>
      </c>
      <c r="C106" s="7" t="s">
        <v>222</v>
      </c>
      <c r="D106" s="33" t="n">
        <v>0</v>
      </c>
      <c r="E106" s="33"/>
      <c r="F106" s="34"/>
      <c r="G106" s="34"/>
      <c r="H106" s="34"/>
    </row>
    <row r="107" customFormat="false" ht="15" hidden="false" customHeight="false" outlineLevel="0" collapsed="false">
      <c r="A107" s="32" t="s">
        <v>412</v>
      </c>
      <c r="B107" s="4" t="s">
        <v>413</v>
      </c>
      <c r="C107" s="7" t="s">
        <v>222</v>
      </c>
      <c r="D107" s="33" t="n">
        <v>0</v>
      </c>
      <c r="E107" s="33"/>
      <c r="F107" s="34"/>
      <c r="G107" s="34"/>
      <c r="H107" s="34"/>
    </row>
    <row r="108" customFormat="false" ht="15" hidden="false" customHeight="false" outlineLevel="0" collapsed="false">
      <c r="A108" s="32" t="s">
        <v>414</v>
      </c>
      <c r="B108" s="4" t="s">
        <v>415</v>
      </c>
      <c r="C108" s="7" t="s">
        <v>241</v>
      </c>
      <c r="D108" s="33" t="n">
        <v>0.2</v>
      </c>
      <c r="E108" s="33"/>
      <c r="F108" s="34" t="s">
        <v>244</v>
      </c>
      <c r="G108" s="34" t="s">
        <v>416</v>
      </c>
      <c r="H108" s="34" t="s">
        <v>417</v>
      </c>
    </row>
    <row r="109" customFormat="false" ht="15" hidden="false" customHeight="false" outlineLevel="0" collapsed="false">
      <c r="A109" s="32" t="s">
        <v>418</v>
      </c>
      <c r="B109" s="4" t="s">
        <v>419</v>
      </c>
      <c r="C109" s="7" t="s">
        <v>241</v>
      </c>
      <c r="D109" s="33" t="n">
        <v>0.15</v>
      </c>
      <c r="E109" s="33"/>
      <c r="F109" s="34" t="s">
        <v>244</v>
      </c>
      <c r="G109" s="34" t="s">
        <v>420</v>
      </c>
      <c r="H109" s="34"/>
    </row>
    <row r="110" customFormat="false" ht="15" hidden="false" customHeight="false" outlineLevel="0" collapsed="false">
      <c r="A110" s="32" t="s">
        <v>421</v>
      </c>
      <c r="B110" s="4" t="s">
        <v>422</v>
      </c>
      <c r="C110" s="7" t="s">
        <v>241</v>
      </c>
      <c r="D110" s="33" t="n">
        <v>1</v>
      </c>
      <c r="E110" s="33"/>
      <c r="F110" s="34"/>
      <c r="G110" s="34"/>
      <c r="H110" s="34"/>
    </row>
    <row r="111" customFormat="false" ht="15" hidden="false" customHeight="false" outlineLevel="0" collapsed="false">
      <c r="A111" s="32" t="s">
        <v>423</v>
      </c>
      <c r="B111" s="4" t="s">
        <v>424</v>
      </c>
      <c r="C111" s="7" t="s">
        <v>231</v>
      </c>
      <c r="D111" s="33" t="n">
        <v>250000000</v>
      </c>
      <c r="E111" s="33"/>
      <c r="F111" s="34" t="s">
        <v>425</v>
      </c>
      <c r="G111" s="34" t="s">
        <v>426</v>
      </c>
      <c r="H111" s="34" t="s">
        <v>427</v>
      </c>
    </row>
    <row r="112" customFormat="false" ht="15" hidden="false" customHeight="false" outlineLevel="0" collapsed="false">
      <c r="A112" s="32" t="s">
        <v>109</v>
      </c>
      <c r="B112" s="4" t="s">
        <v>428</v>
      </c>
      <c r="C112" s="7" t="s">
        <v>231</v>
      </c>
      <c r="D112" s="33" t="n">
        <v>285000000</v>
      </c>
      <c r="E112" s="33"/>
      <c r="F112" s="34"/>
      <c r="G112" s="34"/>
      <c r="H112" s="34"/>
    </row>
    <row r="113" customFormat="false" ht="15" hidden="false" customHeight="false" outlineLevel="0" collapsed="false">
      <c r="A113" s="32" t="s">
        <v>429</v>
      </c>
      <c r="B113" s="4" t="s">
        <v>430</v>
      </c>
      <c r="C113" s="7" t="s">
        <v>241</v>
      </c>
      <c r="D113" s="33" t="n">
        <v>0.85</v>
      </c>
      <c r="E113" s="33"/>
      <c r="F113" s="34"/>
      <c r="G113" s="34"/>
      <c r="H113" s="34"/>
    </row>
    <row r="115" customFormat="false" ht="18" hidden="false" customHeight="true" outlineLevel="0" collapsed="false">
      <c r="A115" s="38" t="s">
        <v>431</v>
      </c>
      <c r="B115" s="38"/>
      <c r="C115" s="38"/>
      <c r="D115" s="38"/>
      <c r="E115" s="38"/>
      <c r="F115" s="38"/>
      <c r="G115" s="38"/>
      <c r="H115" s="38"/>
    </row>
    <row r="116" customFormat="false" ht="15" hidden="false" customHeight="false" outlineLevel="0" collapsed="false">
      <c r="A116" s="32" t="s">
        <v>432</v>
      </c>
      <c r="B116" s="4" t="s">
        <v>433</v>
      </c>
      <c r="C116" s="7" t="s">
        <v>434</v>
      </c>
      <c r="D116" s="39" t="b">
        <f aca="false">TRUE()</f>
        <v>1</v>
      </c>
      <c r="E116" s="33"/>
      <c r="F116" s="34"/>
      <c r="G116" s="34"/>
      <c r="H116" s="34"/>
    </row>
    <row r="117" customFormat="false" ht="15" hidden="false" customHeight="false" outlineLevel="0" collapsed="false">
      <c r="A117" s="32" t="s">
        <v>435</v>
      </c>
      <c r="B117" s="4" t="s">
        <v>436</v>
      </c>
      <c r="C117" s="7" t="s">
        <v>231</v>
      </c>
      <c r="D117" s="33" t="n">
        <v>5</v>
      </c>
      <c r="E117" s="33"/>
      <c r="F117" s="34"/>
      <c r="G117" s="34"/>
      <c r="H117" s="34"/>
    </row>
    <row r="118" customFormat="false" ht="15" hidden="false" customHeight="false" outlineLevel="0" collapsed="false">
      <c r="A118" s="32" t="s">
        <v>437</v>
      </c>
      <c r="B118" s="4" t="s">
        <v>438</v>
      </c>
      <c r="C118" s="7" t="s">
        <v>434</v>
      </c>
      <c r="D118" s="39" t="b">
        <f aca="false">FALSE()</f>
        <v>0</v>
      </c>
      <c r="E118" s="33"/>
      <c r="F118" s="34"/>
      <c r="G118" s="34"/>
      <c r="H118" s="34"/>
    </row>
    <row r="119" customFormat="false" ht="15" hidden="false" customHeight="false" outlineLevel="0" collapsed="false">
      <c r="A119" s="32" t="s">
        <v>439</v>
      </c>
      <c r="B119" s="4" t="s">
        <v>440</v>
      </c>
      <c r="C119" s="7" t="s">
        <v>241</v>
      </c>
      <c r="D119" s="33"/>
      <c r="E119" s="33"/>
      <c r="F119" s="34"/>
      <c r="G119" s="34"/>
      <c r="H119" s="34"/>
    </row>
    <row r="121" customFormat="false" ht="18" hidden="false" customHeight="true" outlineLevel="0" collapsed="false">
      <c r="A121" s="38" t="s">
        <v>441</v>
      </c>
      <c r="B121" s="38"/>
      <c r="C121" s="38"/>
      <c r="D121" s="38"/>
      <c r="E121" s="38"/>
      <c r="F121" s="38"/>
      <c r="G121" s="38"/>
      <c r="H121" s="38"/>
    </row>
    <row r="122" customFormat="false" ht="15" hidden="false" customHeight="false" outlineLevel="0" collapsed="false">
      <c r="A122" s="32" t="s">
        <v>442</v>
      </c>
      <c r="B122" s="4" t="s">
        <v>443</v>
      </c>
      <c r="C122" s="7" t="s">
        <v>241</v>
      </c>
      <c r="D122" s="33" t="n">
        <v>0.5</v>
      </c>
      <c r="E122" s="33"/>
      <c r="F122" s="34"/>
      <c r="G122" s="34"/>
      <c r="H122" s="34"/>
    </row>
    <row r="123" customFormat="false" ht="15" hidden="false" customHeight="false" outlineLevel="0" collapsed="false">
      <c r="A123" s="32" t="s">
        <v>444</v>
      </c>
      <c r="B123" s="4" t="s">
        <v>445</v>
      </c>
      <c r="C123" s="7" t="s">
        <v>241</v>
      </c>
      <c r="D123" s="33" t="n">
        <v>0.3</v>
      </c>
      <c r="E123" s="33"/>
      <c r="F123" s="34"/>
      <c r="G123" s="34"/>
      <c r="H123" s="34"/>
    </row>
    <row r="124" customFormat="false" ht="15" hidden="false" customHeight="false" outlineLevel="0" collapsed="false">
      <c r="A124" s="32" t="s">
        <v>446</v>
      </c>
      <c r="B124" s="4" t="s">
        <v>447</v>
      </c>
      <c r="C124" s="7" t="s">
        <v>241</v>
      </c>
      <c r="D124" s="33" t="n">
        <v>0.2</v>
      </c>
      <c r="E124" s="33"/>
      <c r="F124" s="34"/>
      <c r="G124" s="34"/>
      <c r="H124" s="34"/>
    </row>
    <row r="125" customFormat="false" ht="15" hidden="false" customHeight="false" outlineLevel="0" collapsed="false">
      <c r="A125" s="32" t="s">
        <v>448</v>
      </c>
      <c r="B125" s="4" t="s">
        <v>449</v>
      </c>
      <c r="C125" s="7" t="s">
        <v>241</v>
      </c>
      <c r="D125" s="33" t="n">
        <v>0</v>
      </c>
      <c r="E125" s="33"/>
      <c r="F125" s="34"/>
      <c r="G125" s="34"/>
      <c r="H125" s="34"/>
    </row>
    <row r="126" customFormat="false" ht="15" hidden="false" customHeight="false" outlineLevel="0" collapsed="false">
      <c r="A126" s="32" t="s">
        <v>450</v>
      </c>
      <c r="B126" s="4" t="s">
        <v>451</v>
      </c>
      <c r="C126" s="7" t="s">
        <v>222</v>
      </c>
      <c r="D126" s="33"/>
      <c r="E126" s="33"/>
      <c r="F126" s="34"/>
      <c r="G126" s="34"/>
      <c r="H126" s="34"/>
    </row>
    <row r="127" customFormat="false" ht="15" hidden="false" customHeight="false" outlineLevel="0" collapsed="false">
      <c r="A127" s="32" t="s">
        <v>452</v>
      </c>
      <c r="B127" s="4" t="s">
        <v>453</v>
      </c>
      <c r="C127" s="7" t="s">
        <v>222</v>
      </c>
      <c r="D127" s="33"/>
      <c r="E127" s="33"/>
      <c r="F127" s="34"/>
      <c r="G127" s="34"/>
      <c r="H127" s="34"/>
    </row>
    <row r="128" customFormat="false" ht="15" hidden="false" customHeight="false" outlineLevel="0" collapsed="false">
      <c r="A128" s="32" t="s">
        <v>454</v>
      </c>
      <c r="B128" s="4" t="s">
        <v>455</v>
      </c>
      <c r="C128" s="7" t="s">
        <v>222</v>
      </c>
      <c r="D128" s="33"/>
      <c r="E128" s="33"/>
      <c r="F128" s="34"/>
      <c r="G128" s="34"/>
      <c r="H128" s="34"/>
    </row>
    <row r="130" customFormat="false" ht="18" hidden="false" customHeight="true" outlineLevel="0" collapsed="false">
      <c r="A130" s="38" t="s">
        <v>456</v>
      </c>
      <c r="B130" s="38"/>
      <c r="C130" s="38"/>
      <c r="D130" s="38"/>
      <c r="E130" s="38"/>
      <c r="F130" s="38"/>
      <c r="G130" s="38"/>
      <c r="H130" s="38"/>
    </row>
    <row r="131" customFormat="false" ht="15" hidden="false" customHeight="false" outlineLevel="0" collapsed="false">
      <c r="A131" s="32" t="s">
        <v>457</v>
      </c>
      <c r="B131" s="4" t="s">
        <v>458</v>
      </c>
      <c r="C131" s="7" t="s">
        <v>241</v>
      </c>
      <c r="D131" s="33" t="n">
        <v>0.005</v>
      </c>
      <c r="E131" s="33"/>
      <c r="F131" s="34"/>
      <c r="G131" s="34"/>
      <c r="H131" s="34"/>
    </row>
    <row r="132" customFormat="false" ht="15" hidden="false" customHeight="false" outlineLevel="0" collapsed="false">
      <c r="A132" s="32" t="s">
        <v>459</v>
      </c>
      <c r="B132" s="4" t="s">
        <v>460</v>
      </c>
      <c r="C132" s="7" t="s">
        <v>231</v>
      </c>
      <c r="D132" s="33" t="n">
        <v>5</v>
      </c>
      <c r="E132" s="33"/>
      <c r="F132" s="34"/>
      <c r="G132" s="34"/>
      <c r="H132" s="34"/>
    </row>
    <row r="133" customFormat="false" ht="15" hidden="false" customHeight="false" outlineLevel="0" collapsed="false">
      <c r="A133" s="32" t="s">
        <v>461</v>
      </c>
      <c r="B133" s="4" t="s">
        <v>462</v>
      </c>
      <c r="C133" s="7" t="s">
        <v>241</v>
      </c>
      <c r="D133" s="33" t="n">
        <v>0.005</v>
      </c>
      <c r="E133" s="33"/>
      <c r="F133" s="34"/>
      <c r="G133" s="34"/>
      <c r="H133" s="34"/>
    </row>
    <row r="134" customFormat="false" ht="15" hidden="false" customHeight="false" outlineLevel="0" collapsed="false">
      <c r="A134" s="32" t="s">
        <v>463</v>
      </c>
      <c r="B134" s="4" t="s">
        <v>464</v>
      </c>
      <c r="C134" s="7" t="s">
        <v>231</v>
      </c>
      <c r="D134" s="33" t="n">
        <v>5</v>
      </c>
      <c r="E134" s="33"/>
      <c r="F134" s="34"/>
      <c r="G134" s="34"/>
      <c r="H134" s="34"/>
    </row>
    <row r="135" customFormat="false" ht="15" hidden="false" customHeight="false" outlineLevel="0" collapsed="false">
      <c r="A135" s="32" t="s">
        <v>465</v>
      </c>
      <c r="B135" s="4" t="s">
        <v>466</v>
      </c>
      <c r="C135" s="7" t="s">
        <v>241</v>
      </c>
      <c r="D135" s="33" t="n">
        <v>0.02</v>
      </c>
      <c r="E135" s="33"/>
      <c r="F135" s="34"/>
      <c r="G135" s="34"/>
      <c r="H135" s="34"/>
    </row>
    <row r="136" customFormat="false" ht="15" hidden="false" customHeight="false" outlineLevel="0" collapsed="false">
      <c r="A136" s="32" t="s">
        <v>467</v>
      </c>
      <c r="B136" s="4" t="s">
        <v>468</v>
      </c>
      <c r="C136" s="7" t="s">
        <v>241</v>
      </c>
      <c r="D136" s="33" t="n">
        <v>0.02</v>
      </c>
      <c r="E136" s="33"/>
      <c r="F136" s="34"/>
      <c r="G136" s="34"/>
      <c r="H136" s="34"/>
    </row>
    <row r="138" customFormat="false" ht="15" hidden="false" customHeight="false" outlineLevel="0" collapsed="false">
      <c r="A138" s="3" t="s">
        <v>469</v>
      </c>
      <c r="B138" s="3"/>
      <c r="C138" s="3"/>
      <c r="D138" s="3"/>
      <c r="E138" s="3"/>
      <c r="F138" s="3"/>
      <c r="G138" s="3"/>
      <c r="H138" s="3"/>
    </row>
    <row r="139" customFormat="false" ht="52.2" hidden="false" customHeight="false" outlineLevel="0" collapsed="false">
      <c r="A139" s="22" t="s">
        <v>470</v>
      </c>
      <c r="B139" s="22" t="s">
        <v>471</v>
      </c>
      <c r="C139" s="22" t="s">
        <v>3</v>
      </c>
      <c r="D139" s="22" t="s">
        <v>472</v>
      </c>
      <c r="E139" s="22" t="s">
        <v>473</v>
      </c>
      <c r="F139" s="22" t="s">
        <v>474</v>
      </c>
      <c r="G139" s="22" t="s">
        <v>8</v>
      </c>
      <c r="H139" s="22" t="s">
        <v>475</v>
      </c>
      <c r="I139" s="22" t="s">
        <v>476</v>
      </c>
      <c r="J139" s="22" t="s">
        <v>477</v>
      </c>
      <c r="K139" s="22" t="s">
        <v>478</v>
      </c>
      <c r="L139" s="22" t="s">
        <v>479</v>
      </c>
    </row>
    <row r="140" customFormat="false" ht="15" hidden="false" customHeight="false" outlineLevel="0" collapsed="false">
      <c r="A140" s="34" t="n">
        <v>1</v>
      </c>
      <c r="B140" s="40" t="b">
        <f aca="false">TRUE()</f>
        <v>1</v>
      </c>
      <c r="C140" s="34" t="s">
        <v>480</v>
      </c>
      <c r="D140" s="34" t="s">
        <v>481</v>
      </c>
      <c r="E140" s="34" t="s">
        <v>482</v>
      </c>
      <c r="F140" s="34" t="s">
        <v>483</v>
      </c>
      <c r="G140" s="34" t="s">
        <v>484</v>
      </c>
      <c r="H140" s="34" t="n">
        <v>50000</v>
      </c>
      <c r="I140" s="34" t="n">
        <v>0.05</v>
      </c>
      <c r="J140" s="34" t="n">
        <v>1.2</v>
      </c>
      <c r="K140" s="34" t="n">
        <v>0.21</v>
      </c>
      <c r="L140" s="34"/>
    </row>
    <row r="141" customFormat="false" ht="15" hidden="false" customHeight="false" outlineLevel="0" collapsed="false">
      <c r="A141" s="34" t="n">
        <v>1</v>
      </c>
      <c r="B141" s="40" t="b">
        <f aca="false">TRUE()</f>
        <v>1</v>
      </c>
      <c r="C141" s="34" t="s">
        <v>485</v>
      </c>
      <c r="D141" s="34" t="s">
        <v>486</v>
      </c>
      <c r="E141" s="34" t="s">
        <v>487</v>
      </c>
      <c r="F141" s="34" t="s">
        <v>488</v>
      </c>
      <c r="G141" s="34" t="s">
        <v>484</v>
      </c>
      <c r="H141" s="34" t="n">
        <v>38000</v>
      </c>
      <c r="I141" s="34" t="n">
        <v>0.1</v>
      </c>
      <c r="J141" s="34" t="n">
        <v>1.3</v>
      </c>
      <c r="K141" s="34" t="n">
        <v>0.21</v>
      </c>
      <c r="L141" s="34"/>
    </row>
    <row r="142" customFormat="false" ht="15" hidden="false" customHeight="false" outlineLevel="0" collapsed="false">
      <c r="A142" s="34" t="n">
        <v>2</v>
      </c>
      <c r="B142" s="40" t="b">
        <f aca="false">TRUE()</f>
        <v>1</v>
      </c>
      <c r="C142" s="34" t="s">
        <v>489</v>
      </c>
      <c r="D142" s="34" t="s">
        <v>490</v>
      </c>
      <c r="E142" s="34" t="s">
        <v>491</v>
      </c>
      <c r="F142" s="34" t="s">
        <v>488</v>
      </c>
      <c r="G142" s="34" t="s">
        <v>484</v>
      </c>
      <c r="H142" s="34" t="n">
        <v>22000</v>
      </c>
      <c r="I142" s="34" t="n">
        <v>0.08</v>
      </c>
      <c r="J142" s="34" t="n">
        <v>1.25</v>
      </c>
      <c r="K142" s="34" t="n">
        <v>0.21</v>
      </c>
      <c r="L142" s="34"/>
    </row>
    <row r="143" customFormat="false" ht="15" hidden="false" customHeight="false" outlineLevel="0" collapsed="false">
      <c r="A143" s="34" t="n">
        <v>3</v>
      </c>
      <c r="B143" s="40" t="b">
        <f aca="false">TRUE()</f>
        <v>1</v>
      </c>
      <c r="C143" s="34" t="s">
        <v>492</v>
      </c>
      <c r="D143" s="34" t="s">
        <v>493</v>
      </c>
      <c r="E143" s="34" t="s">
        <v>494</v>
      </c>
      <c r="F143" s="34" t="s">
        <v>488</v>
      </c>
      <c r="G143" s="34" t="s">
        <v>484</v>
      </c>
      <c r="H143" s="34" t="n">
        <v>4500</v>
      </c>
      <c r="I143" s="34" t="n">
        <v>0.35</v>
      </c>
      <c r="J143" s="34" t="n">
        <v>1.1</v>
      </c>
      <c r="K143" s="34" t="n">
        <v>0.21</v>
      </c>
      <c r="L143" s="34"/>
    </row>
    <row r="144" customFormat="false" ht="15" hidden="false" customHeight="false" outlineLevel="0" collapsed="false">
      <c r="A144" s="34"/>
      <c r="B144" s="34"/>
      <c r="C144" s="34"/>
      <c r="D144" s="34"/>
      <c r="E144" s="34"/>
      <c r="F144" s="34"/>
      <c r="G144" s="34"/>
      <c r="H144" s="34"/>
      <c r="I144" s="34"/>
      <c r="J144" s="34"/>
      <c r="K144" s="34"/>
      <c r="L144" s="34"/>
    </row>
    <row r="145" customFormat="false" ht="15" hidden="false" customHeight="false" outlineLevel="0" collapsed="false">
      <c r="A145" s="34"/>
      <c r="B145" s="34"/>
      <c r="C145" s="34"/>
      <c r="D145" s="34"/>
      <c r="E145" s="34"/>
      <c r="F145" s="34"/>
      <c r="G145" s="34"/>
      <c r="H145" s="34"/>
      <c r="I145" s="34"/>
      <c r="J145" s="34"/>
      <c r="K145" s="34"/>
      <c r="L145" s="34"/>
    </row>
    <row r="146" customFormat="false" ht="15" hidden="false" customHeight="false" outlineLevel="0" collapsed="false">
      <c r="A146" s="34"/>
      <c r="B146" s="34"/>
      <c r="C146" s="34"/>
      <c r="D146" s="34"/>
      <c r="E146" s="34"/>
      <c r="F146" s="34"/>
      <c r="G146" s="34"/>
      <c r="H146" s="34"/>
      <c r="I146" s="34"/>
      <c r="J146" s="34"/>
      <c r="K146" s="34"/>
      <c r="L146" s="34"/>
    </row>
    <row r="147" customFormat="false" ht="15" hidden="false" customHeight="false" outlineLevel="0" collapsed="false">
      <c r="A147" s="34"/>
      <c r="B147" s="34"/>
      <c r="C147" s="34"/>
      <c r="D147" s="34"/>
      <c r="E147" s="34"/>
      <c r="F147" s="34"/>
      <c r="G147" s="34"/>
      <c r="H147" s="34"/>
      <c r="I147" s="34"/>
      <c r="J147" s="34"/>
      <c r="K147" s="34"/>
      <c r="L147" s="34"/>
    </row>
    <row r="148" customFormat="false" ht="15" hidden="false" customHeight="false" outlineLevel="0" collapsed="false">
      <c r="A148" s="34"/>
      <c r="B148" s="34"/>
      <c r="C148" s="34"/>
      <c r="D148" s="34"/>
      <c r="E148" s="34"/>
      <c r="F148" s="34"/>
      <c r="G148" s="34"/>
      <c r="H148" s="34"/>
      <c r="I148" s="34"/>
      <c r="J148" s="34"/>
      <c r="K148" s="34"/>
      <c r="L148" s="34"/>
    </row>
    <row r="149" customFormat="false" ht="15" hidden="false" customHeight="false" outlineLevel="0" collapsed="false">
      <c r="A149" s="34"/>
      <c r="B149" s="34"/>
      <c r="C149" s="34"/>
      <c r="D149" s="34"/>
      <c r="E149" s="34"/>
      <c r="F149" s="34"/>
      <c r="G149" s="34"/>
      <c r="H149" s="34"/>
      <c r="I149" s="34"/>
      <c r="J149" s="34"/>
      <c r="K149" s="34"/>
      <c r="L149" s="34"/>
    </row>
    <row r="150" customFormat="false" ht="15" hidden="false" customHeight="false" outlineLevel="0" collapsed="false">
      <c r="A150" s="34"/>
      <c r="B150" s="34"/>
      <c r="C150" s="34"/>
      <c r="D150" s="34"/>
      <c r="E150" s="34"/>
      <c r="F150" s="34"/>
      <c r="G150" s="34"/>
      <c r="H150" s="34"/>
      <c r="I150" s="34"/>
      <c r="J150" s="34"/>
      <c r="K150" s="34"/>
      <c r="L150" s="34"/>
    </row>
    <row r="151" customFormat="false" ht="15" hidden="false" customHeight="false" outlineLevel="0" collapsed="false">
      <c r="A151" s="34"/>
      <c r="B151" s="34"/>
      <c r="C151" s="34"/>
      <c r="D151" s="34"/>
      <c r="E151" s="34"/>
      <c r="F151" s="34"/>
      <c r="G151" s="34"/>
      <c r="H151" s="34"/>
      <c r="I151" s="34"/>
      <c r="J151" s="34"/>
      <c r="K151" s="34"/>
      <c r="L151" s="34"/>
    </row>
    <row r="152" customFormat="false" ht="15" hidden="false" customHeight="false" outlineLevel="0" collapsed="false">
      <c r="A152" s="34"/>
      <c r="B152" s="34"/>
      <c r="C152" s="34"/>
      <c r="D152" s="34"/>
      <c r="E152" s="34"/>
      <c r="F152" s="34"/>
      <c r="G152" s="34"/>
      <c r="H152" s="34"/>
      <c r="I152" s="34"/>
      <c r="J152" s="34"/>
      <c r="K152" s="34"/>
      <c r="L152" s="34"/>
    </row>
    <row r="153" customFormat="false" ht="15" hidden="false" customHeight="false" outlineLevel="0" collapsed="false">
      <c r="A153" s="34"/>
      <c r="B153" s="34"/>
      <c r="C153" s="34"/>
      <c r="D153" s="34"/>
      <c r="E153" s="34"/>
      <c r="F153" s="34"/>
      <c r="G153" s="34"/>
      <c r="H153" s="34"/>
      <c r="I153" s="34"/>
      <c r="J153" s="34"/>
      <c r="K153" s="34"/>
      <c r="L153" s="34"/>
    </row>
    <row r="154" customFormat="false" ht="15" hidden="false" customHeight="false" outlineLevel="0" collapsed="false">
      <c r="A154" s="34"/>
      <c r="B154" s="34"/>
      <c r="C154" s="34"/>
      <c r="D154" s="34"/>
      <c r="E154" s="34"/>
      <c r="F154" s="34"/>
      <c r="G154" s="34"/>
      <c r="H154" s="34"/>
      <c r="I154" s="34"/>
      <c r="J154" s="34"/>
      <c r="K154" s="34"/>
      <c r="L154" s="34"/>
    </row>
    <row r="155" customFormat="false" ht="15" hidden="false" customHeight="false" outlineLevel="0" collapsed="false">
      <c r="A155" s="34"/>
      <c r="B155" s="34"/>
      <c r="C155" s="34"/>
      <c r="D155" s="34"/>
      <c r="E155" s="34"/>
      <c r="F155" s="34"/>
      <c r="G155" s="34"/>
      <c r="H155" s="34"/>
      <c r="I155" s="34"/>
      <c r="J155" s="34"/>
      <c r="K155" s="34"/>
      <c r="L155" s="34"/>
    </row>
    <row r="156" customFormat="false" ht="15" hidden="false" customHeight="false" outlineLevel="0" collapsed="false">
      <c r="A156" s="34"/>
      <c r="B156" s="34"/>
      <c r="C156" s="34"/>
      <c r="D156" s="34"/>
      <c r="E156" s="34"/>
      <c r="F156" s="34"/>
      <c r="G156" s="34"/>
      <c r="H156" s="34"/>
      <c r="I156" s="34"/>
      <c r="J156" s="34"/>
      <c r="K156" s="34"/>
      <c r="L156" s="34"/>
    </row>
    <row r="157" customFormat="false" ht="15" hidden="false" customHeight="false" outlineLevel="0" collapsed="false">
      <c r="A157" s="34"/>
      <c r="B157" s="34"/>
      <c r="C157" s="34"/>
      <c r="D157" s="34"/>
      <c r="E157" s="34"/>
      <c r="F157" s="34"/>
      <c r="G157" s="34"/>
      <c r="H157" s="34"/>
      <c r="I157" s="34"/>
      <c r="J157" s="34"/>
      <c r="K157" s="34"/>
      <c r="L157" s="34"/>
    </row>
    <row r="158" customFormat="false" ht="15" hidden="false" customHeight="false" outlineLevel="0" collapsed="false">
      <c r="A158" s="34"/>
      <c r="B158" s="34"/>
      <c r="C158" s="34"/>
      <c r="D158" s="34"/>
      <c r="E158" s="34"/>
      <c r="F158" s="34"/>
      <c r="G158" s="34"/>
      <c r="H158" s="34"/>
      <c r="I158" s="34"/>
      <c r="J158" s="34"/>
      <c r="K158" s="34"/>
      <c r="L158" s="34"/>
    </row>
    <row r="159" customFormat="false" ht="15" hidden="false" customHeight="false" outlineLevel="0" collapsed="false">
      <c r="A159" s="34"/>
      <c r="B159" s="34"/>
      <c r="C159" s="34"/>
      <c r="D159" s="34"/>
      <c r="E159" s="34"/>
      <c r="F159" s="34"/>
      <c r="G159" s="34"/>
      <c r="H159" s="34"/>
      <c r="I159" s="34"/>
      <c r="J159" s="34"/>
      <c r="K159" s="34"/>
      <c r="L159" s="34"/>
    </row>
    <row r="160" customFormat="false" ht="15" hidden="false" customHeight="false" outlineLevel="0" collapsed="false">
      <c r="A160" s="34"/>
      <c r="B160" s="34"/>
      <c r="C160" s="34"/>
      <c r="D160" s="34"/>
      <c r="E160" s="34"/>
      <c r="F160" s="34"/>
      <c r="G160" s="34"/>
      <c r="H160" s="34"/>
      <c r="I160" s="34"/>
      <c r="J160" s="34"/>
      <c r="K160" s="34"/>
      <c r="L160" s="34"/>
    </row>
    <row r="161" customFormat="false" ht="15" hidden="false" customHeight="false" outlineLevel="0" collapsed="false">
      <c r="A161" s="34"/>
      <c r="B161" s="34"/>
      <c r="C161" s="34"/>
      <c r="D161" s="34"/>
      <c r="E161" s="34"/>
      <c r="F161" s="34"/>
      <c r="G161" s="34"/>
      <c r="H161" s="34"/>
      <c r="I161" s="34"/>
      <c r="J161" s="34"/>
      <c r="K161" s="34"/>
      <c r="L161" s="34"/>
    </row>
    <row r="162" customFormat="false" ht="15" hidden="false" customHeight="false" outlineLevel="0" collapsed="false">
      <c r="A162" s="34"/>
      <c r="B162" s="34"/>
      <c r="C162" s="34"/>
      <c r="D162" s="34"/>
      <c r="E162" s="34"/>
      <c r="F162" s="34"/>
      <c r="G162" s="34"/>
      <c r="H162" s="34"/>
      <c r="I162" s="34"/>
      <c r="J162" s="34"/>
      <c r="K162" s="34"/>
      <c r="L162" s="34"/>
    </row>
    <row r="163" customFormat="false" ht="15" hidden="false" customHeight="false" outlineLevel="0" collapsed="false">
      <c r="A163" s="34"/>
      <c r="B163" s="34"/>
      <c r="C163" s="34"/>
      <c r="D163" s="34"/>
      <c r="E163" s="34"/>
      <c r="F163" s="34"/>
      <c r="G163" s="34"/>
      <c r="H163" s="34"/>
      <c r="I163" s="34"/>
      <c r="J163" s="34"/>
      <c r="K163" s="34"/>
      <c r="L163" s="34"/>
    </row>
    <row r="164" customFormat="false" ht="15" hidden="false" customHeight="false" outlineLevel="0" collapsed="false">
      <c r="A164" s="34"/>
      <c r="B164" s="34"/>
      <c r="C164" s="34"/>
      <c r="D164" s="34"/>
      <c r="E164" s="34"/>
      <c r="F164" s="34"/>
      <c r="G164" s="34"/>
      <c r="H164" s="34"/>
      <c r="I164" s="34"/>
      <c r="J164" s="34"/>
      <c r="K164" s="34"/>
      <c r="L164" s="34"/>
    </row>
    <row r="165" customFormat="false" ht="15" hidden="false" customHeight="false" outlineLevel="0" collapsed="false">
      <c r="A165" s="34"/>
      <c r="B165" s="34"/>
      <c r="C165" s="34"/>
      <c r="D165" s="34"/>
      <c r="E165" s="34"/>
      <c r="F165" s="34"/>
      <c r="G165" s="34"/>
      <c r="H165" s="34"/>
      <c r="I165" s="34"/>
      <c r="J165" s="34"/>
      <c r="K165" s="34"/>
      <c r="L165" s="34"/>
    </row>
    <row r="166" customFormat="false" ht="15" hidden="false" customHeight="false" outlineLevel="0" collapsed="false">
      <c r="A166" s="34"/>
      <c r="B166" s="34"/>
      <c r="C166" s="34"/>
      <c r="D166" s="34"/>
      <c r="E166" s="34"/>
      <c r="F166" s="34"/>
      <c r="G166" s="34"/>
      <c r="H166" s="34"/>
      <c r="I166" s="34"/>
      <c r="J166" s="34"/>
      <c r="K166" s="34"/>
      <c r="L166" s="34"/>
    </row>
    <row r="167" customFormat="false" ht="15" hidden="false" customHeight="false" outlineLevel="0" collapsed="false">
      <c r="A167" s="34"/>
      <c r="B167" s="34"/>
      <c r="C167" s="34"/>
      <c r="D167" s="34"/>
      <c r="E167" s="34"/>
      <c r="F167" s="34"/>
      <c r="G167" s="34"/>
      <c r="H167" s="34"/>
      <c r="I167" s="34"/>
      <c r="J167" s="34"/>
      <c r="K167" s="34"/>
      <c r="L167" s="34"/>
    </row>
    <row r="168" customFormat="false" ht="15" hidden="false" customHeight="false" outlineLevel="0" collapsed="false">
      <c r="A168" s="34"/>
      <c r="B168" s="34"/>
      <c r="C168" s="34"/>
      <c r="D168" s="34"/>
      <c r="E168" s="34"/>
      <c r="F168" s="34"/>
      <c r="G168" s="34"/>
      <c r="H168" s="34"/>
      <c r="I168" s="34"/>
      <c r="J168" s="34"/>
      <c r="K168" s="34"/>
      <c r="L168" s="34"/>
    </row>
    <row r="169" customFormat="false" ht="15" hidden="false" customHeight="false" outlineLevel="0" collapsed="false">
      <c r="A169" s="34"/>
      <c r="B169" s="34"/>
      <c r="C169" s="34"/>
      <c r="D169" s="34"/>
      <c r="E169" s="34"/>
      <c r="F169" s="34"/>
      <c r="G169" s="34"/>
      <c r="H169" s="34"/>
      <c r="I169" s="34"/>
      <c r="J169" s="34"/>
      <c r="K169" s="34"/>
      <c r="L169" s="34"/>
    </row>
    <row r="171" customFormat="false" ht="15" hidden="false" customHeight="false" outlineLevel="0" collapsed="false">
      <c r="A171" s="38" t="s">
        <v>495</v>
      </c>
      <c r="B171" s="38"/>
      <c r="C171" s="38"/>
      <c r="D171" s="38"/>
      <c r="E171" s="38"/>
      <c r="F171" s="38"/>
      <c r="G171" s="38"/>
      <c r="H171" s="38"/>
    </row>
    <row r="172" customFormat="false" ht="52.2" hidden="false" customHeight="false" outlineLevel="0" collapsed="false">
      <c r="A172" s="22" t="s">
        <v>471</v>
      </c>
      <c r="B172" s="22" t="s">
        <v>496</v>
      </c>
      <c r="C172" s="22" t="s">
        <v>497</v>
      </c>
      <c r="D172" s="22" t="s">
        <v>498</v>
      </c>
      <c r="E172" s="22" t="s">
        <v>499</v>
      </c>
      <c r="F172" s="22" t="s">
        <v>500</v>
      </c>
      <c r="G172" s="22" t="s">
        <v>501</v>
      </c>
      <c r="H172" s="22" t="s">
        <v>502</v>
      </c>
      <c r="I172" s="22" t="s">
        <v>503</v>
      </c>
    </row>
    <row r="173" customFormat="false" ht="15" hidden="false" customHeight="false" outlineLevel="0" collapsed="false">
      <c r="A173" s="40" t="b">
        <f aca="false">TRUE()</f>
        <v>1</v>
      </c>
      <c r="B173" s="34" t="s">
        <v>504</v>
      </c>
      <c r="C173" s="34" t="s">
        <v>505</v>
      </c>
      <c r="D173" s="34" t="s">
        <v>506</v>
      </c>
      <c r="E173" s="34" t="n">
        <v>28000</v>
      </c>
      <c r="F173" s="34" t="n">
        <v>7.2</v>
      </c>
      <c r="G173" s="34" t="n">
        <v>24</v>
      </c>
      <c r="H173" s="34" t="n">
        <v>0.31</v>
      </c>
      <c r="I173" s="34" t="s">
        <v>507</v>
      </c>
    </row>
    <row r="174" customFormat="false" ht="15" hidden="false" customHeight="false" outlineLevel="0" collapsed="false">
      <c r="A174" s="34"/>
      <c r="B174" s="34"/>
      <c r="C174" s="34"/>
      <c r="D174" s="34"/>
      <c r="E174" s="34"/>
      <c r="F174" s="34"/>
      <c r="G174" s="34"/>
      <c r="H174" s="34"/>
      <c r="I174" s="34"/>
    </row>
    <row r="175" customFormat="false" ht="15" hidden="false" customHeight="false" outlineLevel="0" collapsed="false">
      <c r="A175" s="34"/>
      <c r="B175" s="34"/>
      <c r="C175" s="34"/>
      <c r="D175" s="34"/>
      <c r="E175" s="34"/>
      <c r="F175" s="34"/>
      <c r="G175" s="34"/>
      <c r="H175" s="34"/>
      <c r="I175" s="34"/>
    </row>
    <row r="176" customFormat="false" ht="15" hidden="false" customHeight="false" outlineLevel="0" collapsed="false">
      <c r="A176" s="34"/>
      <c r="B176" s="34"/>
      <c r="C176" s="34"/>
      <c r="D176" s="34"/>
      <c r="E176" s="34"/>
      <c r="F176" s="34"/>
      <c r="G176" s="34"/>
      <c r="H176" s="34"/>
      <c r="I176" s="34"/>
    </row>
    <row r="177" customFormat="false" ht="15" hidden="false" customHeight="false" outlineLevel="0" collapsed="false">
      <c r="A177" s="34"/>
      <c r="B177" s="34"/>
      <c r="C177" s="34"/>
      <c r="D177" s="34"/>
      <c r="E177" s="34"/>
      <c r="F177" s="34"/>
      <c r="G177" s="34"/>
      <c r="H177" s="34"/>
      <c r="I177" s="34"/>
    </row>
    <row r="178" customFormat="false" ht="15" hidden="false" customHeight="false" outlineLevel="0" collapsed="false">
      <c r="A178" s="34"/>
      <c r="B178" s="34"/>
      <c r="C178" s="34"/>
      <c r="D178" s="34"/>
      <c r="E178" s="34"/>
      <c r="F178" s="34"/>
      <c r="G178" s="34"/>
      <c r="H178" s="34"/>
      <c r="I178" s="34"/>
    </row>
    <row r="179" customFormat="false" ht="15" hidden="false" customHeight="false" outlineLevel="0" collapsed="false">
      <c r="A179" s="34"/>
      <c r="B179" s="34"/>
      <c r="C179" s="34"/>
      <c r="D179" s="34"/>
      <c r="E179" s="34"/>
      <c r="F179" s="34"/>
      <c r="G179" s="34"/>
      <c r="H179" s="34"/>
      <c r="I179" s="34"/>
    </row>
    <row r="180" customFormat="false" ht="15" hidden="false" customHeight="false" outlineLevel="0" collapsed="false">
      <c r="A180" s="34"/>
      <c r="B180" s="34"/>
      <c r="C180" s="34"/>
      <c r="D180" s="34"/>
      <c r="E180" s="34"/>
      <c r="F180" s="34"/>
      <c r="G180" s="34"/>
      <c r="H180" s="34"/>
      <c r="I180" s="34"/>
    </row>
    <row r="181" customFormat="false" ht="15" hidden="false" customHeight="false" outlineLevel="0" collapsed="false">
      <c r="A181" s="34"/>
      <c r="B181" s="34"/>
      <c r="C181" s="34"/>
      <c r="D181" s="34"/>
      <c r="E181" s="34"/>
      <c r="F181" s="34"/>
      <c r="G181" s="34"/>
      <c r="H181" s="34"/>
      <c r="I181" s="34"/>
    </row>
    <row r="182" customFormat="false" ht="15" hidden="false" customHeight="false" outlineLevel="0" collapsed="false">
      <c r="A182" s="34"/>
      <c r="B182" s="34"/>
      <c r="C182" s="34"/>
      <c r="D182" s="34"/>
      <c r="E182" s="34"/>
      <c r="F182" s="34"/>
      <c r="G182" s="34"/>
      <c r="H182" s="34"/>
      <c r="I182" s="34"/>
    </row>
    <row r="183" customFormat="false" ht="15" hidden="false" customHeight="false" outlineLevel="0" collapsed="false">
      <c r="A183" s="34"/>
      <c r="B183" s="34"/>
      <c r="C183" s="34"/>
      <c r="D183" s="34"/>
      <c r="E183" s="34"/>
      <c r="F183" s="34"/>
      <c r="G183" s="34"/>
      <c r="H183" s="34"/>
      <c r="I183" s="34"/>
    </row>
    <row r="184" customFormat="false" ht="15" hidden="false" customHeight="false" outlineLevel="0" collapsed="false">
      <c r="A184" s="34"/>
      <c r="B184" s="34"/>
      <c r="C184" s="34"/>
      <c r="D184" s="34"/>
      <c r="E184" s="34"/>
      <c r="F184" s="34"/>
      <c r="G184" s="34"/>
      <c r="H184" s="34"/>
      <c r="I184" s="34"/>
    </row>
    <row r="185" customFormat="false" ht="15" hidden="false" customHeight="false" outlineLevel="0" collapsed="false">
      <c r="A185" s="34"/>
      <c r="B185" s="34"/>
      <c r="C185" s="34"/>
      <c r="D185" s="34"/>
      <c r="E185" s="34"/>
      <c r="F185" s="34"/>
      <c r="G185" s="34"/>
      <c r="H185" s="34"/>
      <c r="I185" s="34"/>
    </row>
    <row r="186" customFormat="false" ht="15" hidden="false" customHeight="false" outlineLevel="0" collapsed="false">
      <c r="A186" s="34"/>
      <c r="B186" s="34"/>
      <c r="C186" s="34"/>
      <c r="D186" s="34"/>
      <c r="E186" s="34"/>
      <c r="F186" s="34"/>
      <c r="G186" s="34"/>
      <c r="H186" s="34"/>
      <c r="I186" s="34"/>
    </row>
    <row r="187" customFormat="false" ht="15" hidden="false" customHeight="false" outlineLevel="0" collapsed="false">
      <c r="A187" s="34"/>
      <c r="B187" s="34"/>
      <c r="C187" s="34"/>
      <c r="D187" s="34"/>
      <c r="E187" s="34"/>
      <c r="F187" s="34"/>
      <c r="G187" s="34"/>
      <c r="H187" s="34"/>
      <c r="I187" s="34"/>
    </row>
    <row r="189" customFormat="false" ht="15" hidden="false" customHeight="false" outlineLevel="0" collapsed="false">
      <c r="A189" s="38" t="s">
        <v>508</v>
      </c>
      <c r="B189" s="38"/>
      <c r="C189" s="38"/>
      <c r="D189" s="38"/>
      <c r="E189" s="38"/>
      <c r="F189" s="38"/>
      <c r="G189" s="38"/>
      <c r="H189" s="38"/>
      <c r="I189" s="38"/>
      <c r="J189" s="38"/>
      <c r="K189" s="38"/>
      <c r="L189" s="38"/>
      <c r="M189" s="38"/>
    </row>
    <row r="190" customFormat="false" ht="15" hidden="false" customHeight="false" outlineLevel="0" collapsed="false">
      <c r="A190" s="2" t="s">
        <v>509</v>
      </c>
      <c r="B190" s="2"/>
      <c r="C190" s="2"/>
      <c r="D190" s="2"/>
      <c r="E190" s="2"/>
      <c r="F190" s="2"/>
      <c r="G190" s="2"/>
      <c r="H190" s="2"/>
      <c r="I190" s="2"/>
      <c r="J190" s="2"/>
      <c r="K190" s="2"/>
      <c r="L190" s="2"/>
      <c r="M190" s="2"/>
    </row>
    <row r="191" customFormat="false" ht="39.55" hidden="false" customHeight="false" outlineLevel="0" collapsed="false">
      <c r="A191" s="22" t="s">
        <v>510</v>
      </c>
      <c r="B191" s="22" t="s">
        <v>511</v>
      </c>
      <c r="C191" s="22" t="s">
        <v>512</v>
      </c>
      <c r="D191" s="22" t="s">
        <v>513</v>
      </c>
      <c r="E191" s="22" t="s">
        <v>514</v>
      </c>
      <c r="F191" s="22" t="s">
        <v>515</v>
      </c>
      <c r="G191" s="22" t="s">
        <v>516</v>
      </c>
      <c r="H191" s="22" t="s">
        <v>517</v>
      </c>
      <c r="I191" s="22" t="s">
        <v>518</v>
      </c>
      <c r="J191" s="22" t="s">
        <v>519</v>
      </c>
      <c r="K191" s="22" t="s">
        <v>520</v>
      </c>
      <c r="L191" s="22" t="s">
        <v>521</v>
      </c>
      <c r="M191" s="22" t="s">
        <v>522</v>
      </c>
      <c r="N191" s="22" t="s">
        <v>523</v>
      </c>
      <c r="O191" s="22" t="s">
        <v>524</v>
      </c>
      <c r="P191" s="22" t="s">
        <v>525</v>
      </c>
      <c r="Q191" s="22" t="s">
        <v>526</v>
      </c>
      <c r="R191" s="22" t="s">
        <v>527</v>
      </c>
      <c r="S191" s="22" t="s">
        <v>121</v>
      </c>
      <c r="T191" s="22" t="s">
        <v>528</v>
      </c>
      <c r="U191" s="22" t="s">
        <v>529</v>
      </c>
    </row>
    <row r="192" customFormat="false" ht="15" hidden="false" customHeight="false" outlineLevel="0" collapsed="false">
      <c r="A192" s="34"/>
      <c r="B192" s="34"/>
      <c r="C192" s="34"/>
      <c r="D192" s="34"/>
      <c r="E192" s="34"/>
      <c r="F192" s="34"/>
      <c r="G192" s="34"/>
      <c r="H192" s="34"/>
      <c r="I192" s="34"/>
      <c r="J192" s="34"/>
      <c r="K192" s="34"/>
      <c r="L192" s="34"/>
      <c r="M192" s="34"/>
      <c r="N192" s="34"/>
      <c r="O192" s="34"/>
      <c r="P192" s="34"/>
      <c r="Q192" s="34"/>
      <c r="R192" s="34"/>
      <c r="S192" s="34"/>
      <c r="T192" s="34"/>
      <c r="U192" s="34"/>
    </row>
    <row r="193" customFormat="false" ht="15" hidden="false" customHeight="false" outlineLevel="0" collapsed="false">
      <c r="A193" s="34"/>
      <c r="B193" s="34"/>
      <c r="C193" s="34"/>
      <c r="D193" s="34"/>
      <c r="E193" s="34"/>
      <c r="F193" s="34"/>
      <c r="G193" s="34"/>
      <c r="H193" s="34"/>
      <c r="I193" s="34"/>
      <c r="J193" s="34"/>
      <c r="K193" s="34"/>
      <c r="L193" s="34"/>
      <c r="M193" s="34"/>
      <c r="N193" s="34"/>
      <c r="O193" s="34"/>
      <c r="P193" s="34"/>
      <c r="Q193" s="34"/>
      <c r="R193" s="34"/>
      <c r="S193" s="34"/>
      <c r="T193" s="34"/>
      <c r="U193" s="34"/>
    </row>
    <row r="194" customFormat="false" ht="15" hidden="false" customHeight="false" outlineLevel="0" collapsed="false">
      <c r="A194" s="34"/>
      <c r="B194" s="34"/>
      <c r="C194" s="34"/>
      <c r="D194" s="34"/>
      <c r="E194" s="34"/>
      <c r="F194" s="34"/>
      <c r="G194" s="34"/>
      <c r="H194" s="34"/>
      <c r="I194" s="34"/>
      <c r="J194" s="34"/>
      <c r="K194" s="34"/>
      <c r="L194" s="34"/>
      <c r="M194" s="34"/>
      <c r="N194" s="34"/>
      <c r="O194" s="34"/>
      <c r="P194" s="34"/>
      <c r="Q194" s="34"/>
      <c r="R194" s="34"/>
      <c r="S194" s="34"/>
      <c r="T194" s="34"/>
      <c r="U194" s="34"/>
    </row>
    <row r="195" customFormat="false" ht="15" hidden="false" customHeight="false" outlineLevel="0" collapsed="false">
      <c r="A195" s="34"/>
      <c r="B195" s="34"/>
      <c r="C195" s="34"/>
      <c r="D195" s="34"/>
      <c r="E195" s="34"/>
      <c r="F195" s="34"/>
      <c r="G195" s="34"/>
      <c r="H195" s="34"/>
      <c r="I195" s="34"/>
      <c r="J195" s="34"/>
      <c r="K195" s="34"/>
      <c r="L195" s="34"/>
      <c r="M195" s="34"/>
      <c r="N195" s="34"/>
      <c r="O195" s="34"/>
      <c r="P195" s="34"/>
      <c r="Q195" s="34"/>
      <c r="R195" s="34"/>
      <c r="S195" s="34"/>
      <c r="T195" s="34"/>
      <c r="U195" s="34"/>
    </row>
    <row r="196" customFormat="false" ht="15" hidden="false" customHeight="false" outlineLevel="0" collapsed="false">
      <c r="A196" s="34"/>
      <c r="B196" s="34"/>
      <c r="C196" s="34"/>
      <c r="D196" s="34"/>
      <c r="E196" s="34"/>
      <c r="F196" s="34"/>
      <c r="G196" s="34"/>
      <c r="H196" s="34"/>
      <c r="I196" s="34"/>
      <c r="J196" s="34"/>
      <c r="K196" s="34"/>
      <c r="L196" s="34"/>
      <c r="M196" s="34"/>
      <c r="N196" s="34"/>
      <c r="O196" s="34"/>
      <c r="P196" s="34"/>
      <c r="Q196" s="34"/>
      <c r="R196" s="34"/>
      <c r="S196" s="34"/>
      <c r="T196" s="34"/>
      <c r="U196" s="34"/>
    </row>
    <row r="197" customFormat="false" ht="15" hidden="false" customHeight="false" outlineLevel="0" collapsed="false">
      <c r="A197" s="34"/>
      <c r="B197" s="34"/>
      <c r="C197" s="34"/>
      <c r="D197" s="34"/>
      <c r="E197" s="34"/>
      <c r="F197" s="34"/>
      <c r="G197" s="34"/>
      <c r="H197" s="34"/>
      <c r="I197" s="34"/>
      <c r="J197" s="34"/>
      <c r="K197" s="34"/>
      <c r="L197" s="34"/>
      <c r="M197" s="34"/>
      <c r="N197" s="34"/>
      <c r="O197" s="34"/>
      <c r="P197" s="34"/>
      <c r="Q197" s="34"/>
      <c r="R197" s="34"/>
      <c r="S197" s="34"/>
      <c r="T197" s="34"/>
      <c r="U197" s="34"/>
    </row>
    <row r="198" customFormat="false" ht="15" hidden="false" customHeight="false" outlineLevel="0" collapsed="false">
      <c r="A198" s="34"/>
      <c r="B198" s="34"/>
      <c r="C198" s="34"/>
      <c r="D198" s="34"/>
      <c r="E198" s="34"/>
      <c r="F198" s="34"/>
      <c r="G198" s="34"/>
      <c r="H198" s="34"/>
      <c r="I198" s="34"/>
      <c r="J198" s="34"/>
      <c r="K198" s="34"/>
      <c r="L198" s="34"/>
      <c r="M198" s="34"/>
      <c r="N198" s="34"/>
      <c r="O198" s="34"/>
      <c r="P198" s="34"/>
      <c r="Q198" s="34"/>
      <c r="R198" s="34"/>
      <c r="S198" s="34"/>
      <c r="T198" s="34"/>
      <c r="U198" s="34"/>
    </row>
    <row r="199" customFormat="false" ht="15" hidden="false" customHeight="false" outlineLevel="0" collapsed="false">
      <c r="A199" s="34"/>
      <c r="B199" s="34"/>
      <c r="C199" s="34"/>
      <c r="D199" s="34"/>
      <c r="E199" s="34"/>
      <c r="F199" s="34"/>
      <c r="G199" s="34"/>
      <c r="H199" s="34"/>
      <c r="I199" s="34"/>
      <c r="J199" s="34"/>
      <c r="K199" s="34"/>
      <c r="L199" s="34"/>
      <c r="M199" s="34"/>
      <c r="N199" s="34"/>
      <c r="O199" s="34"/>
      <c r="P199" s="34"/>
      <c r="Q199" s="34"/>
      <c r="R199" s="34"/>
      <c r="S199" s="34"/>
      <c r="T199" s="34"/>
      <c r="U199" s="34"/>
    </row>
  </sheetData>
  <mergeCells count="16">
    <mergeCell ref="A1:H1"/>
    <mergeCell ref="A2:H2"/>
    <mergeCell ref="A6:H6"/>
    <mergeCell ref="A18:H18"/>
    <mergeCell ref="A24:H24"/>
    <mergeCell ref="A32:H32"/>
    <mergeCell ref="A79:H79"/>
    <mergeCell ref="A86:H86"/>
    <mergeCell ref="A103:H103"/>
    <mergeCell ref="A115:H115"/>
    <mergeCell ref="A121:H121"/>
    <mergeCell ref="A130:H130"/>
    <mergeCell ref="A138:H138"/>
    <mergeCell ref="A171:H171"/>
    <mergeCell ref="A189:M189"/>
    <mergeCell ref="A190:M190"/>
  </mergeCells>
  <dataValidations count="2">
    <dataValidation allowBlank="true" errorStyle="stop" operator="between" showDropDown="false" showErrorMessage="false" showInputMessage="false" sqref="F7:F16 F19:F22 F25:F30 F33:F77 F80:F84 F87:F101 F104:F113 F116:F119 F122:F128 F131:F136" type="list">
      <formula1>"Audited FS,Management Projections,Capital IQ,Bloomberg,Damodaran,Kroll,Mercer,Prospectus,Engagement Letter,Calculated,Manual"</formula1>
      <formula2>0</formula2>
    </dataValidation>
    <dataValidation allowBlank="true" errorStyle="stop" operator="between" showDropDown="false" showErrorMessage="false" showInputMessage="false" sqref="D116 D11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7" min="3" style="0" width="14"/>
  </cols>
  <sheetData>
    <row r="1" customFormat="false" ht="21.75" hidden="false" customHeight="true" outlineLevel="0" collapsed="false">
      <c r="A1" s="1" t="s">
        <v>530</v>
      </c>
      <c r="B1" s="1"/>
      <c r="C1" s="1"/>
      <c r="D1" s="1"/>
      <c r="E1" s="1"/>
      <c r="F1" s="1"/>
      <c r="G1" s="1"/>
      <c r="H1" s="1"/>
    </row>
    <row r="2" customFormat="false" ht="15" hidden="false" customHeight="false" outlineLevel="0" collapsed="false">
      <c r="A2" s="2" t="s">
        <v>531</v>
      </c>
      <c r="B2" s="2"/>
      <c r="C2" s="2"/>
      <c r="D2" s="2"/>
      <c r="E2" s="2"/>
      <c r="F2" s="2"/>
      <c r="G2" s="2"/>
      <c r="H2" s="2"/>
    </row>
    <row r="4" customFormat="false" ht="15" hidden="false" customHeight="false" outlineLevel="0" collapsed="false">
      <c r="A4" s="8" t="s">
        <v>532</v>
      </c>
      <c r="B4" s="8" t="s">
        <v>15</v>
      </c>
      <c r="C4" s="8" t="s">
        <v>533</v>
      </c>
      <c r="D4" s="8" t="s">
        <v>534</v>
      </c>
      <c r="E4" s="8" t="s">
        <v>179</v>
      </c>
      <c r="F4" s="8" t="s">
        <v>180</v>
      </c>
      <c r="G4" s="8" t="s">
        <v>181</v>
      </c>
    </row>
    <row r="6" customFormat="false" ht="15" hidden="false" customHeight="false" outlineLevel="0" collapsed="false">
      <c r="A6" s="3" t="s">
        <v>535</v>
      </c>
      <c r="B6" s="3"/>
      <c r="C6" s="3"/>
      <c r="D6" s="3"/>
      <c r="E6" s="3"/>
      <c r="F6" s="3"/>
      <c r="G6" s="3"/>
    </row>
    <row r="7" customFormat="false" ht="15" hidden="false" customHeight="false" outlineLevel="0" collapsed="false">
      <c r="A7" s="4" t="s">
        <v>184</v>
      </c>
      <c r="B7" s="7" t="s">
        <v>536</v>
      </c>
      <c r="C7" s="41" t="n">
        <v>70000</v>
      </c>
      <c r="D7" s="41" t="n">
        <v>78000</v>
      </c>
      <c r="E7" s="41" t="n">
        <v>86000</v>
      </c>
      <c r="F7" s="41" t="n">
        <v>95000</v>
      </c>
      <c r="G7" s="41" t="n">
        <v>100000</v>
      </c>
    </row>
    <row r="8" customFormat="false" ht="15" hidden="false" customHeight="false" outlineLevel="0" collapsed="false">
      <c r="A8" s="4" t="s">
        <v>537</v>
      </c>
      <c r="B8" s="7" t="s">
        <v>536</v>
      </c>
      <c r="C8" s="41" t="n">
        <v>-42000</v>
      </c>
      <c r="D8" s="41" t="n">
        <v>-46800</v>
      </c>
      <c r="E8" s="41" t="n">
        <v>-51600</v>
      </c>
      <c r="F8" s="41" t="n">
        <v>-57000</v>
      </c>
      <c r="G8" s="41" t="n">
        <v>-60000</v>
      </c>
    </row>
    <row r="9" customFormat="false" ht="15" hidden="false" customHeight="false" outlineLevel="0" collapsed="false">
      <c r="A9" s="4" t="s">
        <v>538</v>
      </c>
      <c r="B9" s="7" t="s">
        <v>536</v>
      </c>
      <c r="C9" s="41" t="n">
        <v>28000</v>
      </c>
      <c r="D9" s="41" t="n">
        <v>31200</v>
      </c>
      <c r="E9" s="41" t="n">
        <v>34400</v>
      </c>
      <c r="F9" s="41" t="n">
        <v>38000</v>
      </c>
      <c r="G9" s="41" t="n">
        <v>40000</v>
      </c>
    </row>
    <row r="10" customFormat="false" ht="15" hidden="false" customHeight="false" outlineLevel="0" collapsed="false">
      <c r="A10" s="4" t="s">
        <v>539</v>
      </c>
      <c r="B10" s="7" t="s">
        <v>536</v>
      </c>
      <c r="C10" s="41" t="n">
        <v>-21000</v>
      </c>
      <c r="D10" s="41" t="n">
        <v>-23400</v>
      </c>
      <c r="E10" s="41" t="n">
        <v>-25800</v>
      </c>
      <c r="F10" s="41" t="n">
        <v>-28500</v>
      </c>
      <c r="G10" s="41" t="n">
        <v>-30000</v>
      </c>
    </row>
    <row r="11" customFormat="false" ht="15" hidden="false" customHeight="false" outlineLevel="0" collapsed="false">
      <c r="A11" s="4" t="s">
        <v>540</v>
      </c>
      <c r="B11" s="7" t="s">
        <v>536</v>
      </c>
      <c r="C11" s="41" t="n">
        <v>-15000</v>
      </c>
      <c r="D11" s="41" t="n">
        <v>-16800</v>
      </c>
      <c r="E11" s="41" t="n">
        <v>-18500</v>
      </c>
      <c r="F11" s="41" t="n">
        <v>-20400</v>
      </c>
      <c r="G11" s="41" t="n">
        <v>-21500</v>
      </c>
    </row>
    <row r="12" customFormat="false" ht="15" hidden="false" customHeight="false" outlineLevel="0" collapsed="false">
      <c r="A12" s="4" t="s">
        <v>541</v>
      </c>
      <c r="B12" s="7" t="s">
        <v>536</v>
      </c>
      <c r="C12" s="41" t="n">
        <v>-6000</v>
      </c>
      <c r="D12" s="41" t="n">
        <v>-6600</v>
      </c>
      <c r="E12" s="41" t="n">
        <v>-7300</v>
      </c>
      <c r="F12" s="41" t="n">
        <v>-8100</v>
      </c>
      <c r="G12" s="41" t="n">
        <v>-8500</v>
      </c>
    </row>
    <row r="13" customFormat="false" ht="15" hidden="false" customHeight="false" outlineLevel="0" collapsed="false">
      <c r="A13" s="4" t="s">
        <v>185</v>
      </c>
      <c r="B13" s="7" t="s">
        <v>536</v>
      </c>
      <c r="C13" s="41" t="n">
        <v>7000</v>
      </c>
      <c r="D13" s="41" t="n">
        <v>7800</v>
      </c>
      <c r="E13" s="41" t="n">
        <v>8600</v>
      </c>
      <c r="F13" s="41" t="n">
        <v>9500</v>
      </c>
      <c r="G13" s="41" t="n">
        <v>10000</v>
      </c>
    </row>
    <row r="14" customFormat="false" ht="15" hidden="false" customHeight="false" outlineLevel="0" collapsed="false">
      <c r="A14" s="4" t="s">
        <v>542</v>
      </c>
      <c r="B14" s="7" t="s">
        <v>536</v>
      </c>
      <c r="C14" s="41" t="n">
        <v>-2100</v>
      </c>
      <c r="D14" s="41" t="n">
        <v>-2340</v>
      </c>
      <c r="E14" s="41" t="n">
        <v>-2580</v>
      </c>
      <c r="F14" s="41" t="n">
        <v>-2850</v>
      </c>
      <c r="G14" s="41" t="n">
        <v>-3000</v>
      </c>
    </row>
    <row r="15" customFormat="false" ht="15" hidden="false" customHeight="false" outlineLevel="0" collapsed="false">
      <c r="A15" s="4" t="s">
        <v>543</v>
      </c>
      <c r="B15" s="7" t="s">
        <v>536</v>
      </c>
      <c r="C15" s="41" t="n">
        <v>4900</v>
      </c>
      <c r="D15" s="41" t="n">
        <v>5460</v>
      </c>
      <c r="E15" s="41" t="n">
        <v>6020</v>
      </c>
      <c r="F15" s="41" t="n">
        <v>6650</v>
      </c>
      <c r="G15" s="41" t="n">
        <v>7000</v>
      </c>
    </row>
    <row r="16" customFormat="false" ht="15" hidden="false" customHeight="false" outlineLevel="0" collapsed="false">
      <c r="A16" s="4" t="s">
        <v>544</v>
      </c>
      <c r="B16" s="7" t="s">
        <v>536</v>
      </c>
      <c r="C16" s="41" t="n">
        <v>-800</v>
      </c>
      <c r="D16" s="41" t="n">
        <v>-800</v>
      </c>
      <c r="E16" s="41" t="n">
        <v>-750</v>
      </c>
      <c r="F16" s="41" t="n">
        <v>-700</v>
      </c>
      <c r="G16" s="41" t="n">
        <v>-700</v>
      </c>
    </row>
    <row r="17" customFormat="false" ht="15" hidden="false" customHeight="false" outlineLevel="0" collapsed="false">
      <c r="A17" s="4" t="s">
        <v>545</v>
      </c>
      <c r="B17" s="7" t="s">
        <v>536</v>
      </c>
      <c r="C17" s="41" t="n">
        <v>0</v>
      </c>
      <c r="D17" s="41" t="n">
        <v>0</v>
      </c>
      <c r="E17" s="41" t="n">
        <v>0</v>
      </c>
      <c r="F17" s="41" t="n">
        <v>0</v>
      </c>
      <c r="G17" s="41" t="n">
        <v>0</v>
      </c>
    </row>
    <row r="18" customFormat="false" ht="15" hidden="false" customHeight="false" outlineLevel="0" collapsed="false">
      <c r="A18" s="4" t="s">
        <v>546</v>
      </c>
      <c r="B18" s="7" t="s">
        <v>536</v>
      </c>
      <c r="C18" s="41" t="n">
        <v>4100</v>
      </c>
      <c r="D18" s="41" t="n">
        <v>4660</v>
      </c>
      <c r="E18" s="41" t="n">
        <v>5270</v>
      </c>
      <c r="F18" s="41" t="n">
        <v>5950</v>
      </c>
      <c r="G18" s="41" t="n">
        <v>6300</v>
      </c>
    </row>
    <row r="19" customFormat="false" ht="15" hidden="false" customHeight="false" outlineLevel="0" collapsed="false">
      <c r="A19" s="4" t="s">
        <v>547</v>
      </c>
      <c r="B19" s="7" t="s">
        <v>536</v>
      </c>
      <c r="C19" s="41" t="n">
        <v>-984</v>
      </c>
      <c r="D19" s="41" t="n">
        <v>-1118</v>
      </c>
      <c r="E19" s="41" t="n">
        <v>-1265</v>
      </c>
      <c r="F19" s="41" t="n">
        <v>-1428</v>
      </c>
      <c r="G19" s="41" t="n">
        <v>-1512</v>
      </c>
    </row>
    <row r="20" customFormat="false" ht="15" hidden="false" customHeight="false" outlineLevel="0" collapsed="false">
      <c r="A20" s="4" t="s">
        <v>548</v>
      </c>
      <c r="B20" s="7" t="s">
        <v>536</v>
      </c>
      <c r="C20" s="41" t="n">
        <v>3116</v>
      </c>
      <c r="D20" s="41" t="n">
        <v>3542</v>
      </c>
      <c r="E20" s="41" t="n">
        <v>4005</v>
      </c>
      <c r="F20" s="41" t="n">
        <v>4522</v>
      </c>
      <c r="G20" s="41" t="n">
        <v>4788</v>
      </c>
    </row>
    <row r="22" customFormat="false" ht="15" hidden="false" customHeight="false" outlineLevel="0" collapsed="false">
      <c r="A22" s="3" t="s">
        <v>549</v>
      </c>
      <c r="B22" s="3"/>
      <c r="C22" s="3"/>
      <c r="D22" s="3"/>
      <c r="E22" s="3"/>
      <c r="F22" s="3"/>
      <c r="G22" s="3"/>
    </row>
    <row r="23" customFormat="false" ht="15" hidden="false" customHeight="false" outlineLevel="0" collapsed="false">
      <c r="A23" s="4" t="s">
        <v>550</v>
      </c>
      <c r="B23" s="7" t="s">
        <v>536</v>
      </c>
      <c r="C23" s="41"/>
      <c r="D23" s="41"/>
      <c r="E23" s="41"/>
      <c r="F23" s="41"/>
      <c r="G23" s="41"/>
    </row>
    <row r="24" customFormat="false" ht="15" hidden="false" customHeight="false" outlineLevel="0" collapsed="false">
      <c r="A24" s="4" t="s">
        <v>551</v>
      </c>
      <c r="B24" s="7" t="s">
        <v>536</v>
      </c>
      <c r="C24" s="41" t="n">
        <v>3000</v>
      </c>
      <c r="D24" s="41" t="n">
        <v>3500</v>
      </c>
      <c r="E24" s="41" t="n">
        <v>4500</v>
      </c>
      <c r="F24" s="41" t="n">
        <v>5500</v>
      </c>
      <c r="G24" s="41" t="n">
        <v>6500</v>
      </c>
    </row>
    <row r="25" customFormat="false" ht="15" hidden="false" customHeight="false" outlineLevel="0" collapsed="false">
      <c r="A25" s="4" t="s">
        <v>552</v>
      </c>
      <c r="B25" s="7" t="s">
        <v>536</v>
      </c>
      <c r="C25" s="41" t="n">
        <v>10000</v>
      </c>
      <c r="D25" s="41" t="n">
        <v>11000</v>
      </c>
      <c r="E25" s="41" t="n">
        <v>12000</v>
      </c>
      <c r="F25" s="41" t="n">
        <v>13000</v>
      </c>
      <c r="G25" s="41" t="n">
        <v>14000</v>
      </c>
    </row>
    <row r="26" customFormat="false" ht="15" hidden="false" customHeight="false" outlineLevel="0" collapsed="false">
      <c r="A26" s="4" t="s">
        <v>553</v>
      </c>
      <c r="B26" s="7" t="s">
        <v>536</v>
      </c>
      <c r="C26" s="41" t="n">
        <v>4500</v>
      </c>
      <c r="D26" s="41" t="n">
        <v>5000</v>
      </c>
      <c r="E26" s="41" t="n">
        <v>5500</v>
      </c>
      <c r="F26" s="41" t="n">
        <v>6000</v>
      </c>
      <c r="G26" s="41" t="n">
        <v>6500</v>
      </c>
    </row>
    <row r="27" customFormat="false" ht="15" hidden="false" customHeight="false" outlineLevel="0" collapsed="false">
      <c r="A27" s="4" t="s">
        <v>554</v>
      </c>
      <c r="B27" s="7" t="s">
        <v>536</v>
      </c>
      <c r="C27" s="41" t="n">
        <v>800</v>
      </c>
      <c r="D27" s="41" t="n">
        <v>900</v>
      </c>
      <c r="E27" s="41" t="n">
        <v>1000</v>
      </c>
      <c r="F27" s="41" t="n">
        <v>1100</v>
      </c>
      <c r="G27" s="41" t="n">
        <v>1200</v>
      </c>
    </row>
    <row r="28" customFormat="false" ht="15" hidden="false" customHeight="false" outlineLevel="0" collapsed="false">
      <c r="A28" s="4" t="s">
        <v>555</v>
      </c>
      <c r="B28" s="7" t="s">
        <v>536</v>
      </c>
      <c r="C28" s="41" t="n">
        <v>18300</v>
      </c>
      <c r="D28" s="41" t="n">
        <v>20400</v>
      </c>
      <c r="E28" s="41" t="n">
        <v>23000</v>
      </c>
      <c r="F28" s="41" t="n">
        <v>25600</v>
      </c>
      <c r="G28" s="41" t="n">
        <v>28200</v>
      </c>
    </row>
    <row r="29" customFormat="false" ht="15" hidden="false" customHeight="false" outlineLevel="0" collapsed="false">
      <c r="A29" s="4" t="s">
        <v>556</v>
      </c>
      <c r="B29" s="7" t="s">
        <v>536</v>
      </c>
      <c r="C29" s="41"/>
      <c r="D29" s="41"/>
      <c r="E29" s="41"/>
      <c r="F29" s="41"/>
      <c r="G29" s="41"/>
    </row>
    <row r="30" customFormat="false" ht="15" hidden="false" customHeight="false" outlineLevel="0" collapsed="false">
      <c r="A30" s="4" t="s">
        <v>557</v>
      </c>
      <c r="B30" s="7" t="s">
        <v>536</v>
      </c>
      <c r="C30" s="41" t="n">
        <v>22000</v>
      </c>
      <c r="D30" s="41" t="n">
        <v>26000</v>
      </c>
      <c r="E30" s="41" t="n">
        <v>30000</v>
      </c>
      <c r="F30" s="41" t="n">
        <v>34000</v>
      </c>
      <c r="G30" s="41" t="n">
        <v>38000</v>
      </c>
    </row>
    <row r="31" customFormat="false" ht="15" hidden="false" customHeight="false" outlineLevel="0" collapsed="false">
      <c r="A31" s="4" t="s">
        <v>558</v>
      </c>
      <c r="B31" s="7" t="s">
        <v>536</v>
      </c>
      <c r="C31" s="41" t="n">
        <v>3500</v>
      </c>
      <c r="D31" s="41" t="n">
        <v>3500</v>
      </c>
      <c r="E31" s="41" t="n">
        <v>3500</v>
      </c>
      <c r="F31" s="41" t="n">
        <v>3500</v>
      </c>
      <c r="G31" s="41" t="n">
        <v>3500</v>
      </c>
    </row>
    <row r="32" customFormat="false" ht="15" hidden="false" customHeight="false" outlineLevel="0" collapsed="false">
      <c r="A32" s="4" t="s">
        <v>559</v>
      </c>
      <c r="B32" s="7" t="s">
        <v>536</v>
      </c>
      <c r="C32" s="41" t="n">
        <v>1500</v>
      </c>
      <c r="D32" s="41" t="n">
        <v>1500</v>
      </c>
      <c r="E32" s="41" t="n">
        <v>1500</v>
      </c>
      <c r="F32" s="41" t="n">
        <v>1500</v>
      </c>
      <c r="G32" s="41" t="n">
        <v>1500</v>
      </c>
    </row>
    <row r="33" customFormat="false" ht="15" hidden="false" customHeight="false" outlineLevel="0" collapsed="false">
      <c r="A33" s="4" t="s">
        <v>560</v>
      </c>
      <c r="B33" s="7" t="s">
        <v>536</v>
      </c>
      <c r="C33" s="41" t="n">
        <v>45300</v>
      </c>
      <c r="D33" s="41" t="n">
        <v>51400</v>
      </c>
      <c r="E33" s="41" t="n">
        <v>58000</v>
      </c>
      <c r="F33" s="41" t="n">
        <v>64600</v>
      </c>
      <c r="G33" s="41" t="n">
        <v>71200</v>
      </c>
    </row>
    <row r="35" customFormat="false" ht="15" hidden="false" customHeight="false" outlineLevel="0" collapsed="false">
      <c r="A35" s="4" t="s">
        <v>561</v>
      </c>
      <c r="B35" s="7" t="s">
        <v>536</v>
      </c>
      <c r="C35" s="41"/>
      <c r="D35" s="41"/>
      <c r="E35" s="41"/>
      <c r="F35" s="41"/>
      <c r="G35" s="41"/>
    </row>
    <row r="36" customFormat="false" ht="15" hidden="false" customHeight="false" outlineLevel="0" collapsed="false">
      <c r="A36" s="4" t="s">
        <v>562</v>
      </c>
      <c r="B36" s="7" t="s">
        <v>536</v>
      </c>
      <c r="C36" s="41" t="n">
        <v>-7000</v>
      </c>
      <c r="D36" s="41" t="n">
        <v>-7700</v>
      </c>
      <c r="E36" s="41" t="n">
        <v>-8500</v>
      </c>
      <c r="F36" s="41" t="n">
        <v>-9300</v>
      </c>
      <c r="G36" s="41" t="n">
        <v>-10000</v>
      </c>
    </row>
    <row r="37" customFormat="false" ht="15" hidden="false" customHeight="false" outlineLevel="0" collapsed="false">
      <c r="A37" s="4" t="s">
        <v>563</v>
      </c>
      <c r="B37" s="7" t="s">
        <v>536</v>
      </c>
      <c r="C37" s="41" t="n">
        <v>-3000</v>
      </c>
      <c r="D37" s="41" t="n">
        <v>-2500</v>
      </c>
      <c r="E37" s="41" t="n">
        <v>-2000</v>
      </c>
      <c r="F37" s="41" t="n">
        <v>-2000</v>
      </c>
      <c r="G37" s="41" t="n">
        <v>-2000</v>
      </c>
    </row>
    <row r="38" customFormat="false" ht="15" hidden="false" customHeight="false" outlineLevel="0" collapsed="false">
      <c r="A38" s="4" t="s">
        <v>564</v>
      </c>
      <c r="B38" s="7" t="s">
        <v>536</v>
      </c>
      <c r="C38" s="41" t="n">
        <v>-2000</v>
      </c>
      <c r="D38" s="41" t="n">
        <v>-2200</v>
      </c>
      <c r="E38" s="41" t="n">
        <v>-2400</v>
      </c>
      <c r="F38" s="41" t="n">
        <v>-2700</v>
      </c>
      <c r="G38" s="41" t="n">
        <v>-3000</v>
      </c>
    </row>
    <row r="39" customFormat="false" ht="15" hidden="false" customHeight="false" outlineLevel="0" collapsed="false">
      <c r="A39" s="4" t="s">
        <v>565</v>
      </c>
      <c r="B39" s="7" t="s">
        <v>536</v>
      </c>
      <c r="C39" s="41" t="n">
        <v>-12000</v>
      </c>
      <c r="D39" s="41" t="n">
        <v>-12400</v>
      </c>
      <c r="E39" s="41" t="n">
        <v>-12900</v>
      </c>
      <c r="F39" s="41" t="n">
        <v>-14000</v>
      </c>
      <c r="G39" s="41" t="n">
        <v>-15000</v>
      </c>
    </row>
    <row r="40" customFormat="false" ht="15" hidden="false" customHeight="false" outlineLevel="0" collapsed="false">
      <c r="A40" s="4" t="s">
        <v>566</v>
      </c>
      <c r="B40" s="7" t="s">
        <v>536</v>
      </c>
      <c r="C40" s="41"/>
      <c r="D40" s="41"/>
      <c r="E40" s="41"/>
      <c r="F40" s="41"/>
      <c r="G40" s="41"/>
    </row>
    <row r="41" customFormat="false" ht="15" hidden="false" customHeight="false" outlineLevel="0" collapsed="false">
      <c r="A41" s="4" t="s">
        <v>567</v>
      </c>
      <c r="B41" s="7" t="s">
        <v>536</v>
      </c>
      <c r="C41" s="41" t="n">
        <v>-12000</v>
      </c>
      <c r="D41" s="41" t="n">
        <v>-11000</v>
      </c>
      <c r="E41" s="41" t="n">
        <v>-9500</v>
      </c>
      <c r="F41" s="41" t="n">
        <v>-9000</v>
      </c>
      <c r="G41" s="41" t="n">
        <v>-8500</v>
      </c>
    </row>
    <row r="42" customFormat="false" ht="15" hidden="false" customHeight="false" outlineLevel="0" collapsed="false">
      <c r="A42" s="4" t="s">
        <v>568</v>
      </c>
      <c r="B42" s="7" t="s">
        <v>536</v>
      </c>
      <c r="C42" s="41" t="n">
        <v>-1000</v>
      </c>
      <c r="D42" s="41" t="n">
        <v>-1000</v>
      </c>
      <c r="E42" s="41" t="n">
        <v>-1000</v>
      </c>
      <c r="F42" s="41" t="n">
        <v>-1000</v>
      </c>
      <c r="G42" s="41" t="n">
        <v>-1000</v>
      </c>
    </row>
    <row r="43" customFormat="false" ht="15" hidden="false" customHeight="false" outlineLevel="0" collapsed="false">
      <c r="A43" s="4" t="s">
        <v>569</v>
      </c>
      <c r="B43" s="7" t="s">
        <v>536</v>
      </c>
      <c r="C43" s="41" t="n">
        <v>-25000</v>
      </c>
      <c r="D43" s="41" t="n">
        <v>-24400</v>
      </c>
      <c r="E43" s="41" t="n">
        <v>-23400</v>
      </c>
      <c r="F43" s="41" t="n">
        <v>-24000</v>
      </c>
      <c r="G43" s="41" t="n">
        <v>-24500</v>
      </c>
    </row>
    <row r="44" customFormat="false" ht="15" hidden="false" customHeight="false" outlineLevel="0" collapsed="false">
      <c r="A44" s="4" t="s">
        <v>570</v>
      </c>
      <c r="B44" s="7" t="s">
        <v>536</v>
      </c>
      <c r="C44" s="41" t="n">
        <v>20300</v>
      </c>
      <c r="D44" s="41" t="n">
        <v>27000</v>
      </c>
      <c r="E44" s="41" t="n">
        <v>34600</v>
      </c>
      <c r="F44" s="41" t="n">
        <v>40600</v>
      </c>
      <c r="G44" s="41" t="n">
        <v>46700</v>
      </c>
    </row>
    <row r="46" customFormat="false" ht="15" hidden="false" customHeight="false" outlineLevel="0" collapsed="false">
      <c r="A46" s="3" t="s">
        <v>571</v>
      </c>
      <c r="B46" s="3"/>
      <c r="C46" s="3"/>
      <c r="D46" s="3"/>
      <c r="E46" s="3"/>
      <c r="F46" s="3"/>
      <c r="G46" s="3"/>
    </row>
    <row r="47" customFormat="false" ht="15" hidden="false" customHeight="false" outlineLevel="0" collapsed="false">
      <c r="A47" s="4" t="s">
        <v>572</v>
      </c>
      <c r="B47" s="7" t="s">
        <v>536</v>
      </c>
      <c r="C47" s="42" t="n">
        <f aca="false">C28-C39</f>
        <v>30300</v>
      </c>
      <c r="D47" s="42" t="n">
        <f aca="false">D28-D39</f>
        <v>32800</v>
      </c>
      <c r="E47" s="42" t="n">
        <f aca="false">E28-E39</f>
        <v>35900</v>
      </c>
      <c r="F47" s="42" t="n">
        <f aca="false">F28-F39</f>
        <v>39600</v>
      </c>
      <c r="G47" s="42" t="n">
        <f aca="false">G28-G39</f>
        <v>43200</v>
      </c>
    </row>
    <row r="48" customFormat="false" ht="15" hidden="false" customHeight="false" outlineLevel="0" collapsed="false">
      <c r="A48" s="4" t="s">
        <v>573</v>
      </c>
      <c r="B48" s="7" t="s">
        <v>536</v>
      </c>
      <c r="C48" s="42" t="n">
        <f aca="false">C37+C41-C24</f>
        <v>-18000</v>
      </c>
      <c r="D48" s="42" t="n">
        <f aca="false">D37+D41-D24</f>
        <v>-17000</v>
      </c>
      <c r="E48" s="42" t="n">
        <f aca="false">E37+E41-E24</f>
        <v>-16000</v>
      </c>
      <c r="F48" s="42" t="n">
        <f aca="false">F37+F41-F24</f>
        <v>-16500</v>
      </c>
      <c r="G48" s="42" t="n">
        <f aca="false">G37+G41-G24</f>
        <v>-17000</v>
      </c>
    </row>
  </sheetData>
  <mergeCells count="5">
    <mergeCell ref="A1:H1"/>
    <mergeCell ref="A2:H2"/>
    <mergeCell ref="A6:G6"/>
    <mergeCell ref="A22:G22"/>
    <mergeCell ref="A46:G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8" min="3" style="0" width="16"/>
  </cols>
  <sheetData>
    <row r="1" customFormat="false" ht="21.75" hidden="false" customHeight="true" outlineLevel="0" collapsed="false">
      <c r="A1" s="1" t="s">
        <v>574</v>
      </c>
      <c r="B1" s="1"/>
      <c r="C1" s="1"/>
      <c r="D1" s="1"/>
      <c r="E1" s="1"/>
      <c r="F1" s="1"/>
      <c r="G1" s="1"/>
      <c r="H1" s="1"/>
    </row>
    <row r="2" customFormat="false" ht="15" hidden="false" customHeight="false" outlineLevel="0" collapsed="false">
      <c r="A2" s="2" t="s">
        <v>575</v>
      </c>
      <c r="B2" s="2"/>
      <c r="C2" s="2"/>
      <c r="D2" s="2"/>
      <c r="E2" s="2"/>
      <c r="F2" s="2"/>
      <c r="G2" s="2"/>
      <c r="H2" s="2"/>
    </row>
    <row r="4" customFormat="false" ht="15" hidden="false" customHeight="false" outlineLevel="0" collapsed="false">
      <c r="A4" s="8" t="s">
        <v>532</v>
      </c>
      <c r="B4" s="8" t="s">
        <v>15</v>
      </c>
      <c r="C4" s="8" t="s">
        <v>576</v>
      </c>
      <c r="D4" s="8" t="s">
        <v>577</v>
      </c>
      <c r="E4" s="8" t="s">
        <v>578</v>
      </c>
      <c r="F4" s="8" t="s">
        <v>579</v>
      </c>
      <c r="G4" s="8" t="s">
        <v>580</v>
      </c>
      <c r="H4" s="8" t="s">
        <v>581</v>
      </c>
    </row>
    <row r="6" customFormat="false" ht="15" hidden="false" customHeight="false" outlineLevel="0" collapsed="false">
      <c r="A6" s="3" t="s">
        <v>582</v>
      </c>
      <c r="B6" s="3"/>
      <c r="C6" s="3"/>
      <c r="D6" s="3"/>
      <c r="E6" s="3"/>
      <c r="F6" s="3"/>
      <c r="G6" s="3"/>
      <c r="H6" s="3"/>
    </row>
    <row r="8" customFormat="false" ht="15" hidden="false" customHeight="false" outlineLevel="0" collapsed="false">
      <c r="A8" s="4" t="s">
        <v>583</v>
      </c>
      <c r="B8" s="7" t="s">
        <v>584</v>
      </c>
      <c r="C8" s="43" t="n">
        <f aca="false">revenue_y0</f>
        <v>100000</v>
      </c>
      <c r="D8" s="44" t="n">
        <f aca="false">C8*(1+IF(ISNUMBER(revenue_growth_primary_y1),revenue_growth_primary_y1,revenue_growth_y1))</f>
        <v>145000</v>
      </c>
      <c r="E8" s="44" t="n">
        <f aca="false">D8*(1+IF(ISNUMBER(revenue_growth_primary_y2),revenue_growth_primary_y2,revenue_growth_y2))</f>
        <v>188500</v>
      </c>
      <c r="F8" s="44" t="n">
        <f aca="false">E8*(1+IF(ISNUMBER(revenue_growth_primary_y3),revenue_growth_primary_y3,revenue_growth_y3))</f>
        <v>229970</v>
      </c>
      <c r="G8" s="44" t="n">
        <f aca="false">F8*(1+IF(ISNUMBER(revenue_growth_primary_y4),revenue_growth_primary_y4,revenue_growth_y4))</f>
        <v>266765.2</v>
      </c>
      <c r="H8" s="44" t="n">
        <f aca="false">G8*(1+IF(ISNUMBER(revenue_growth_primary_y5),revenue_growth_primary_y5,revenue_growth_y5))</f>
        <v>293441.72</v>
      </c>
    </row>
    <row r="9" customFormat="false" ht="15" hidden="false" customHeight="false" outlineLevel="0" collapsed="false">
      <c r="A9" s="4" t="s">
        <v>585</v>
      </c>
      <c r="C9" s="44"/>
      <c r="D9" s="44" t="n">
        <f aca="false">C8</f>
        <v>100000</v>
      </c>
      <c r="E9" s="44" t="n">
        <f aca="false">D8</f>
        <v>145000</v>
      </c>
      <c r="F9" s="44" t="n">
        <f aca="false">E8</f>
        <v>188500</v>
      </c>
      <c r="G9" s="44" t="n">
        <f aca="false">F8</f>
        <v>229970</v>
      </c>
      <c r="H9" s="44" t="n">
        <f aca="false">G8</f>
        <v>266765.2</v>
      </c>
    </row>
    <row r="10" customFormat="false" ht="15" hidden="false" customHeight="false" outlineLevel="0" collapsed="false">
      <c r="A10" s="4" t="s">
        <v>586</v>
      </c>
      <c r="C10" s="44"/>
      <c r="D10" s="44" t="n">
        <f aca="false">C8*D11</f>
        <v>45000</v>
      </c>
      <c r="E10" s="44" t="n">
        <f aca="false">D8*E11</f>
        <v>43500</v>
      </c>
      <c r="F10" s="44" t="n">
        <f aca="false">E8*F11</f>
        <v>41470</v>
      </c>
      <c r="G10" s="44" t="n">
        <f aca="false">F8*G11</f>
        <v>36795.2</v>
      </c>
      <c r="H10" s="44" t="n">
        <f aca="false">G8*H11</f>
        <v>26676.52</v>
      </c>
    </row>
    <row r="11" customFormat="false" ht="15" hidden="false" customHeight="false" outlineLevel="0" collapsed="false">
      <c r="A11" s="4" t="s">
        <v>587</v>
      </c>
      <c r="B11" s="7" t="s">
        <v>588</v>
      </c>
      <c r="D11" s="45" t="n">
        <f aca="false">IF(ISNUMBER(revenue_growth_primary_y1),revenue_growth_primary_y1,revenue_growth_y1)</f>
        <v>0.45</v>
      </c>
      <c r="E11" s="45" t="n">
        <f aca="false">IF(ISNUMBER(revenue_growth_primary_y2),revenue_growth_primary_y2,revenue_growth_y2)</f>
        <v>0.3</v>
      </c>
      <c r="F11" s="45" t="n">
        <f aca="false">IF(ISNUMBER(revenue_growth_primary_y3),revenue_growth_primary_y3,revenue_growth_y3)</f>
        <v>0.22</v>
      </c>
      <c r="G11" s="45" t="n">
        <f aca="false">IF(ISNUMBER(revenue_growth_primary_y4),revenue_growth_primary_y4,revenue_growth_y4)</f>
        <v>0.16</v>
      </c>
      <c r="H11" s="45" t="n">
        <f aca="false">IF(ISNUMBER(revenue_growth_primary_y5),revenue_growth_primary_y5,revenue_growth_y5)</f>
        <v>0.1</v>
      </c>
    </row>
    <row r="12" customFormat="false" ht="15" hidden="false" customHeight="false" outlineLevel="0" collapsed="false">
      <c r="A12" s="4" t="s">
        <v>589</v>
      </c>
      <c r="B12" s="7" t="s">
        <v>536</v>
      </c>
      <c r="C12" s="46" t="n">
        <v>0</v>
      </c>
      <c r="D12" s="44" t="n">
        <f aca="false">D25-D8</f>
        <v>0</v>
      </c>
      <c r="E12" s="44" t="n">
        <f aca="false">E25-E8</f>
        <v>0</v>
      </c>
      <c r="F12" s="44" t="n">
        <f aca="false">F25-F8</f>
        <v>0</v>
      </c>
      <c r="G12" s="44" t="n">
        <f aca="false">G25-G8</f>
        <v>0</v>
      </c>
      <c r="H12" s="44" t="n">
        <f aca="false">H25-H8</f>
        <v>0</v>
      </c>
    </row>
    <row r="13" customFormat="false" ht="15" hidden="false" customHeight="false" outlineLevel="0" collapsed="false">
      <c r="A13" s="4" t="s">
        <v>590</v>
      </c>
      <c r="C13" s="44"/>
      <c r="D13" s="44" t="n">
        <f aca="false">IF(AND(NOT(INDEX(segments_table,1,1)=""),EXACT(INDEX(segments_table,1,19),"core")),D75,0)+IF(AND(NOT(INDEX(segments_table,2,1)=""),EXACT(INDEX(segments_table,2,19),"core")),D79,0)+IF(AND(NOT(INDEX(segments_table,3,1)=""),EXACT(INDEX(segments_table,3,19),"core")),D83,0)+IF(AND(NOT(INDEX(segments_table,4,1)=""),EXACT(INDEX(segments_table,4,19),"core")),D87,0)+IF(AND(NOT(INDEX(segments_table,5,1)=""),EXACT(INDEX(segments_table,5,19),"core")),D91,0)+IF(AND(NOT(INDEX(segments_table,6,1)=""),EXACT(INDEX(segments_table,6,19),"core")),D95,0)+IF(AND(NOT(INDEX(segments_table,7,1)=""),EXACT(INDEX(segments_table,7,19),"core")),D99,0)+IF(AND(NOT(INDEX(segments_table,8,1)=""),EXACT(INDEX(segments_table,8,19),"core")),D103,0)-D8</f>
        <v>-145000</v>
      </c>
      <c r="E13" s="44" t="n">
        <f aca="false">IF(AND(NOT(INDEX(segments_table,1,1)=""),EXACT(INDEX(segments_table,1,19),"core")),E75,0)+IF(AND(NOT(INDEX(segments_table,2,1)=""),EXACT(INDEX(segments_table,2,19),"core")),E79,0)+IF(AND(NOT(INDEX(segments_table,3,1)=""),EXACT(INDEX(segments_table,3,19),"core")),E83,0)+IF(AND(NOT(INDEX(segments_table,4,1)=""),EXACT(INDEX(segments_table,4,19),"core")),E87,0)+IF(AND(NOT(INDEX(segments_table,5,1)=""),EXACT(INDEX(segments_table,5,19),"core")),E91,0)+IF(AND(NOT(INDEX(segments_table,6,1)=""),EXACT(INDEX(segments_table,6,19),"core")),E95,0)+IF(AND(NOT(INDEX(segments_table,7,1)=""),EXACT(INDEX(segments_table,7,19),"core")),E99,0)+IF(AND(NOT(INDEX(segments_table,8,1)=""),EXACT(INDEX(segments_table,8,19),"core")),E103,0)-E8</f>
        <v>-188500</v>
      </c>
      <c r="F13" s="44" t="n">
        <f aca="false">IF(AND(NOT(INDEX(segments_table,1,1)=""),EXACT(INDEX(segments_table,1,19),"core")),F75,0)+IF(AND(NOT(INDEX(segments_table,2,1)=""),EXACT(INDEX(segments_table,2,19),"core")),F79,0)+IF(AND(NOT(INDEX(segments_table,3,1)=""),EXACT(INDEX(segments_table,3,19),"core")),F83,0)+IF(AND(NOT(INDEX(segments_table,4,1)=""),EXACT(INDEX(segments_table,4,19),"core")),F87,0)+IF(AND(NOT(INDEX(segments_table,5,1)=""),EXACT(INDEX(segments_table,5,19),"core")),F91,0)+IF(AND(NOT(INDEX(segments_table,6,1)=""),EXACT(INDEX(segments_table,6,19),"core")),F95,0)+IF(AND(NOT(INDEX(segments_table,7,1)=""),EXACT(INDEX(segments_table,7,19),"core")),F99,0)+IF(AND(NOT(INDEX(segments_table,8,1)=""),EXACT(INDEX(segments_table,8,19),"core")),F103,0)-F8</f>
        <v>-229970</v>
      </c>
      <c r="G13" s="44" t="n">
        <f aca="false">IF(AND(NOT(INDEX(segments_table,1,1)=""),EXACT(INDEX(segments_table,1,19),"core")),G75,0)+IF(AND(NOT(INDEX(segments_table,2,1)=""),EXACT(INDEX(segments_table,2,19),"core")),G79,0)+IF(AND(NOT(INDEX(segments_table,3,1)=""),EXACT(INDEX(segments_table,3,19),"core")),G83,0)+IF(AND(NOT(INDEX(segments_table,4,1)=""),EXACT(INDEX(segments_table,4,19),"core")),G87,0)+IF(AND(NOT(INDEX(segments_table,5,1)=""),EXACT(INDEX(segments_table,5,19),"core")),G91,0)+IF(AND(NOT(INDEX(segments_table,6,1)=""),EXACT(INDEX(segments_table,6,19),"core")),G95,0)+IF(AND(NOT(INDEX(segments_table,7,1)=""),EXACT(INDEX(segments_table,7,19),"core")),G99,0)+IF(AND(NOT(INDEX(segments_table,8,1)=""),EXACT(INDEX(segments_table,8,19),"core")),G103,0)-G8</f>
        <v>-266765.2</v>
      </c>
      <c r="H13" s="44" t="n">
        <f aca="false">IF(AND(NOT(INDEX(segments_table,1,1)=""),EXACT(INDEX(segments_table,1,19),"core")),H75,0)+IF(AND(NOT(INDEX(segments_table,2,1)=""),EXACT(INDEX(segments_table,2,19),"core")),H79,0)+IF(AND(NOT(INDEX(segments_table,3,1)=""),EXACT(INDEX(segments_table,3,19),"core")),H83,0)+IF(AND(NOT(INDEX(segments_table,4,1)=""),EXACT(INDEX(segments_table,4,19),"core")),H87,0)+IF(AND(NOT(INDEX(segments_table,5,1)=""),EXACT(INDEX(segments_table,5,19),"core")),H91,0)+IF(AND(NOT(INDEX(segments_table,6,1)=""),EXACT(INDEX(segments_table,6,19),"core")),H95,0)+IF(AND(NOT(INDEX(segments_table,7,1)=""),EXACT(INDEX(segments_table,7,19),"core")),H99,0)+IF(AND(NOT(INDEX(segments_table,8,1)=""),EXACT(INDEX(segments_table,8,19),"core")),H103,0)-H8</f>
        <v>-293441.72</v>
      </c>
    </row>
    <row r="14" customFormat="false" ht="15" hidden="false" customHeight="false" outlineLevel="0" collapsed="false">
      <c r="A14" s="4" t="str">
        <f aca="false">IF(OR(INDEX(segments_table,1,1)="",EXACT(INDEX(segments_table,1,19),"core")),"","  "&amp;INDEX(segments_table,1,1))</f>
        <v/>
      </c>
      <c r="C14" s="44"/>
      <c r="D14" s="44" t="n">
        <f aca="false">IF(OR(INDEX(segments_table,1,1)="",EXACT(INDEX(segments_table,1,19),"core")),0,D75)</f>
        <v>0</v>
      </c>
      <c r="E14" s="44" t="n">
        <f aca="false">IF(OR(INDEX(segments_table,1,1)="",EXACT(INDEX(segments_table,1,19),"core")),0,E75)</f>
        <v>0</v>
      </c>
      <c r="F14" s="44" t="n">
        <f aca="false">IF(OR(INDEX(segments_table,1,1)="",EXACT(INDEX(segments_table,1,19),"core")),0,F75)</f>
        <v>0</v>
      </c>
      <c r="G14" s="44" t="n">
        <f aca="false">IF(OR(INDEX(segments_table,1,1)="",EXACT(INDEX(segments_table,1,19),"core")),0,G75)</f>
        <v>0</v>
      </c>
      <c r="H14" s="44" t="n">
        <f aca="false">IF(OR(INDEX(segments_table,1,1)="",EXACT(INDEX(segments_table,1,19),"core")),0,H75)</f>
        <v>0</v>
      </c>
    </row>
    <row r="15" customFormat="false" ht="15" hidden="false" customHeight="false" outlineLevel="0" collapsed="false">
      <c r="A15" s="4" t="str">
        <f aca="false">IF(OR(INDEX(segments_table,2,1)="",EXACT(INDEX(segments_table,2,19),"core")),"","  "&amp;INDEX(segments_table,2,1))</f>
        <v/>
      </c>
      <c r="C15" s="44"/>
      <c r="D15" s="44" t="n">
        <f aca="false">IF(OR(INDEX(segments_table,2,1)="",EXACT(INDEX(segments_table,2,19),"core")),0,D79)</f>
        <v>0</v>
      </c>
      <c r="E15" s="44" t="n">
        <f aca="false">IF(OR(INDEX(segments_table,2,1)="",EXACT(INDEX(segments_table,2,19),"core")),0,E79)</f>
        <v>0</v>
      </c>
      <c r="F15" s="44" t="n">
        <f aca="false">IF(OR(INDEX(segments_table,2,1)="",EXACT(INDEX(segments_table,2,19),"core")),0,F79)</f>
        <v>0</v>
      </c>
      <c r="G15" s="44" t="n">
        <f aca="false">IF(OR(INDEX(segments_table,2,1)="",EXACT(INDEX(segments_table,2,19),"core")),0,G79)</f>
        <v>0</v>
      </c>
      <c r="H15" s="44" t="n">
        <f aca="false">IF(OR(INDEX(segments_table,2,1)="",EXACT(INDEX(segments_table,2,19),"core")),0,H79)</f>
        <v>0</v>
      </c>
    </row>
    <row r="16" customFormat="false" ht="15" hidden="false" customHeight="false" outlineLevel="0" collapsed="false">
      <c r="A16" s="4" t="str">
        <f aca="false">IF(OR(INDEX(segments_table,3,1)="",EXACT(INDEX(segments_table,3,19),"core")),"","  "&amp;INDEX(segments_table,3,1))</f>
        <v/>
      </c>
      <c r="C16" s="44"/>
      <c r="D16" s="44" t="n">
        <f aca="false">IF(OR(INDEX(segments_table,3,1)="",EXACT(INDEX(segments_table,3,19),"core")),0,D83)</f>
        <v>0</v>
      </c>
      <c r="E16" s="44" t="n">
        <f aca="false">IF(OR(INDEX(segments_table,3,1)="",EXACT(INDEX(segments_table,3,19),"core")),0,E83)</f>
        <v>0</v>
      </c>
      <c r="F16" s="44" t="n">
        <f aca="false">IF(OR(INDEX(segments_table,3,1)="",EXACT(INDEX(segments_table,3,19),"core")),0,F83)</f>
        <v>0</v>
      </c>
      <c r="G16" s="44" t="n">
        <f aca="false">IF(OR(INDEX(segments_table,3,1)="",EXACT(INDEX(segments_table,3,19),"core")),0,G83)</f>
        <v>0</v>
      </c>
      <c r="H16" s="44" t="n">
        <f aca="false">IF(OR(INDEX(segments_table,3,1)="",EXACT(INDEX(segments_table,3,19),"core")),0,H83)</f>
        <v>0</v>
      </c>
    </row>
    <row r="17" customFormat="false" ht="15" hidden="false" customHeight="false" outlineLevel="0" collapsed="false">
      <c r="A17" s="4" t="str">
        <f aca="false">IF(OR(INDEX(segments_table,4,1)="",EXACT(INDEX(segments_table,4,19),"core")),"","  "&amp;INDEX(segments_table,4,1))</f>
        <v/>
      </c>
      <c r="C17" s="44"/>
      <c r="D17" s="44" t="n">
        <f aca="false">IF(OR(INDEX(segments_table,4,1)="",EXACT(INDEX(segments_table,4,19),"core")),0,D87)</f>
        <v>0</v>
      </c>
      <c r="E17" s="44" t="n">
        <f aca="false">IF(OR(INDEX(segments_table,4,1)="",EXACT(INDEX(segments_table,4,19),"core")),0,E87)</f>
        <v>0</v>
      </c>
      <c r="F17" s="44" t="n">
        <f aca="false">IF(OR(INDEX(segments_table,4,1)="",EXACT(INDEX(segments_table,4,19),"core")),0,F87)</f>
        <v>0</v>
      </c>
      <c r="G17" s="44" t="n">
        <f aca="false">IF(OR(INDEX(segments_table,4,1)="",EXACT(INDEX(segments_table,4,19),"core")),0,G87)</f>
        <v>0</v>
      </c>
      <c r="H17" s="44" t="n">
        <f aca="false">IF(OR(INDEX(segments_table,4,1)="",EXACT(INDEX(segments_table,4,19),"core")),0,H87)</f>
        <v>0</v>
      </c>
    </row>
    <row r="18" customFormat="false" ht="15" hidden="false" customHeight="false" outlineLevel="0" collapsed="false">
      <c r="A18" s="4" t="str">
        <f aca="false">IF(OR(INDEX(segments_table,5,1)="",EXACT(INDEX(segments_table,5,19),"core")),"","  "&amp;INDEX(segments_table,5,1))</f>
        <v/>
      </c>
      <c r="C18" s="44"/>
      <c r="D18" s="44" t="n">
        <f aca="false">IF(OR(INDEX(segments_table,5,1)="",EXACT(INDEX(segments_table,5,19),"core")),0,D91)</f>
        <v>0</v>
      </c>
      <c r="E18" s="44" t="n">
        <f aca="false">IF(OR(INDEX(segments_table,5,1)="",EXACT(INDEX(segments_table,5,19),"core")),0,E91)</f>
        <v>0</v>
      </c>
      <c r="F18" s="44" t="n">
        <f aca="false">IF(OR(INDEX(segments_table,5,1)="",EXACT(INDEX(segments_table,5,19),"core")),0,F91)</f>
        <v>0</v>
      </c>
      <c r="G18" s="44" t="n">
        <f aca="false">IF(OR(INDEX(segments_table,5,1)="",EXACT(INDEX(segments_table,5,19),"core")),0,G91)</f>
        <v>0</v>
      </c>
      <c r="H18" s="44" t="n">
        <f aca="false">IF(OR(INDEX(segments_table,5,1)="",EXACT(INDEX(segments_table,5,19),"core")),0,H91)</f>
        <v>0</v>
      </c>
    </row>
    <row r="19" customFormat="false" ht="15" hidden="false" customHeight="false" outlineLevel="0" collapsed="false">
      <c r="A19" s="4" t="str">
        <f aca="false">IF(OR(INDEX(segments_table,6,1)="",EXACT(INDEX(segments_table,6,19),"core")),"","  "&amp;INDEX(segments_table,6,1))</f>
        <v/>
      </c>
      <c r="C19" s="44"/>
      <c r="D19" s="44" t="n">
        <f aca="false">IF(OR(INDEX(segments_table,6,1)="",EXACT(INDEX(segments_table,6,19),"core")),0,D95)</f>
        <v>0</v>
      </c>
      <c r="E19" s="44" t="n">
        <f aca="false">IF(OR(INDEX(segments_table,6,1)="",EXACT(INDEX(segments_table,6,19),"core")),0,E95)</f>
        <v>0</v>
      </c>
      <c r="F19" s="44" t="n">
        <f aca="false">IF(OR(INDEX(segments_table,6,1)="",EXACT(INDEX(segments_table,6,19),"core")),0,F95)</f>
        <v>0</v>
      </c>
      <c r="G19" s="44" t="n">
        <f aca="false">IF(OR(INDEX(segments_table,6,1)="",EXACT(INDEX(segments_table,6,19),"core")),0,G95)</f>
        <v>0</v>
      </c>
      <c r="H19" s="44" t="n">
        <f aca="false">IF(OR(INDEX(segments_table,6,1)="",EXACT(INDEX(segments_table,6,19),"core")),0,H95)</f>
        <v>0</v>
      </c>
    </row>
    <row r="20" customFormat="false" ht="15" hidden="false" customHeight="false" outlineLevel="0" collapsed="false">
      <c r="A20" s="4" t="str">
        <f aca="false">IF(OR(INDEX(segments_table,7,1)="",EXACT(INDEX(segments_table,7,19),"core")),"","  "&amp;INDEX(segments_table,7,1))</f>
        <v/>
      </c>
      <c r="C20" s="44"/>
      <c r="D20" s="44" t="n">
        <f aca="false">IF(OR(INDEX(segments_table,7,1)="",EXACT(INDEX(segments_table,7,19),"core")),0,D99)</f>
        <v>0</v>
      </c>
      <c r="E20" s="44" t="n">
        <f aca="false">IF(OR(INDEX(segments_table,7,1)="",EXACT(INDEX(segments_table,7,19),"core")),0,E99)</f>
        <v>0</v>
      </c>
      <c r="F20" s="44" t="n">
        <f aca="false">IF(OR(INDEX(segments_table,7,1)="",EXACT(INDEX(segments_table,7,19),"core")),0,F99)</f>
        <v>0</v>
      </c>
      <c r="G20" s="44" t="n">
        <f aca="false">IF(OR(INDEX(segments_table,7,1)="",EXACT(INDEX(segments_table,7,19),"core")),0,G99)</f>
        <v>0</v>
      </c>
      <c r="H20" s="44" t="n">
        <f aca="false">IF(OR(INDEX(segments_table,7,1)="",EXACT(INDEX(segments_table,7,19),"core")),0,H99)</f>
        <v>0</v>
      </c>
    </row>
    <row r="21" customFormat="false" ht="15" hidden="false" customHeight="false" outlineLevel="0" collapsed="false">
      <c r="A21" s="4" t="str">
        <f aca="false">IF(OR(INDEX(segments_table,8,1)="",EXACT(INDEX(segments_table,8,19),"core")),"","  "&amp;INDEX(segments_table,8,1))</f>
        <v/>
      </c>
      <c r="C21" s="44"/>
      <c r="D21" s="44" t="n">
        <f aca="false">IF(OR(INDEX(segments_table,8,1)="",EXACT(INDEX(segments_table,8,19),"core")),0,D103)</f>
        <v>0</v>
      </c>
      <c r="E21" s="44" t="n">
        <f aca="false">IF(OR(INDEX(segments_table,8,1)="",EXACT(INDEX(segments_table,8,19),"core")),0,E103)</f>
        <v>0</v>
      </c>
      <c r="F21" s="44" t="n">
        <f aca="false">IF(OR(INDEX(segments_table,8,1)="",EXACT(INDEX(segments_table,8,19),"core")),0,F103)</f>
        <v>0</v>
      </c>
      <c r="G21" s="44" t="n">
        <f aca="false">IF(OR(INDEX(segments_table,8,1)="",EXACT(INDEX(segments_table,8,19),"core")),0,G103)</f>
        <v>0</v>
      </c>
      <c r="H21" s="44" t="n">
        <f aca="false">IF(OR(INDEX(segments_table,8,1)="",EXACT(INDEX(segments_table,8,19),"core")),0,H103)</f>
        <v>0</v>
      </c>
    </row>
    <row r="22" customFormat="false" ht="15" hidden="false" customHeight="false" outlineLevel="0" collapsed="false">
      <c r="A22" s="4" t="s">
        <v>591</v>
      </c>
      <c r="C22" s="44"/>
      <c r="D22" s="44" t="n">
        <f aca="false">D12-D13-SUM(D14:D21)</f>
        <v>145000</v>
      </c>
      <c r="E22" s="44" t="n">
        <f aca="false">E12-E13-SUM(E14:E21)</f>
        <v>188500</v>
      </c>
      <c r="F22" s="44" t="n">
        <f aca="false">F12-F13-SUM(F14:F21)</f>
        <v>229970</v>
      </c>
      <c r="G22" s="44" t="n">
        <f aca="false">G12-G13-SUM(G14:G21)</f>
        <v>266765.2</v>
      </c>
      <c r="H22" s="44" t="n">
        <f aca="false">H12-H13-SUM(H14:H21)</f>
        <v>293441.72</v>
      </c>
    </row>
    <row r="23" customFormat="false" ht="15" hidden="false" customHeight="false" outlineLevel="0" collapsed="false">
      <c r="A23" s="4" t="s">
        <v>592</v>
      </c>
      <c r="C23" s="44"/>
      <c r="D23" s="44" t="n">
        <f aca="false">SUM(D13:D22)</f>
        <v>0</v>
      </c>
      <c r="E23" s="44" t="n">
        <f aca="false">SUM(E13:E22)</f>
        <v>0</v>
      </c>
      <c r="F23" s="44" t="n">
        <f aca="false">SUM(F13:F22)</f>
        <v>0</v>
      </c>
      <c r="G23" s="44" t="n">
        <f aca="false">SUM(G13:G22)</f>
        <v>0</v>
      </c>
      <c r="H23" s="44" t="n">
        <f aca="false">SUM(H13:H22)</f>
        <v>0</v>
      </c>
    </row>
    <row r="24" customFormat="false" ht="15" hidden="false" customHeight="false" outlineLevel="0" collapsed="false">
      <c r="A24" s="4" t="s">
        <v>593</v>
      </c>
      <c r="B24" s="7" t="s">
        <v>588</v>
      </c>
      <c r="D24" s="45" t="str">
        <f aca="false">IFERROR(D12/C12-1,"")</f>
        <v/>
      </c>
      <c r="E24" s="45" t="str">
        <f aca="false">IFERROR(E12/D12-1,"")</f>
        <v/>
      </c>
      <c r="F24" s="45" t="str">
        <f aca="false">IFERROR(F12/E12-1,"")</f>
        <v/>
      </c>
      <c r="G24" s="45" t="str">
        <f aca="false">IFERROR(G12/F12-1,"")</f>
        <v/>
      </c>
      <c r="H24" s="45" t="str">
        <f aca="false">IFERROR(H12/G12-1,"")</f>
        <v/>
      </c>
    </row>
    <row r="25" customFormat="false" ht="15" hidden="false" customHeight="false" outlineLevel="0" collapsed="false">
      <c r="A25" s="4" t="s">
        <v>594</v>
      </c>
      <c r="B25" s="7" t="s">
        <v>584</v>
      </c>
      <c r="C25" s="43" t="n">
        <f aca="false">revenue_y0</f>
        <v>100000</v>
      </c>
      <c r="D25" s="44" t="n">
        <f aca="false">C25*(1+revenue_growth_y1)</f>
        <v>145000</v>
      </c>
      <c r="E25" s="44" t="n">
        <f aca="false">D25*(1+revenue_growth_y2)</f>
        <v>188500</v>
      </c>
      <c r="F25" s="44" t="n">
        <f aca="false">E25*(1+revenue_growth_y3)</f>
        <v>229970</v>
      </c>
      <c r="G25" s="44" t="n">
        <f aca="false">F25*(1+revenue_growth_y4)</f>
        <v>266765.2</v>
      </c>
      <c r="H25" s="44" t="n">
        <f aca="false">G25*(1+revenue_growth_y5)</f>
        <v>293441.72</v>
      </c>
    </row>
    <row r="26" customFormat="false" ht="15" hidden="false" customHeight="false" outlineLevel="0" collapsed="false">
      <c r="A26" s="4" t="s">
        <v>595</v>
      </c>
      <c r="B26" s="7" t="s">
        <v>588</v>
      </c>
      <c r="D26" s="45" t="n">
        <f aca="false">revenue_growth_y1</f>
        <v>0.45</v>
      </c>
      <c r="E26" s="45" t="n">
        <f aca="false">revenue_growth_y2</f>
        <v>0.3</v>
      </c>
      <c r="F26" s="45" t="n">
        <f aca="false">revenue_growth_y3</f>
        <v>0.22</v>
      </c>
      <c r="G26" s="45" t="n">
        <f aca="false">revenue_growth_y4</f>
        <v>0.16</v>
      </c>
      <c r="H26" s="45" t="n">
        <f aca="false">revenue_growth_y5</f>
        <v>0.1</v>
      </c>
    </row>
    <row r="28" customFormat="false" ht="15" hidden="false" customHeight="false" outlineLevel="0" collapsed="false">
      <c r="A28" s="3" t="s">
        <v>596</v>
      </c>
      <c r="B28" s="3"/>
      <c r="C28" s="3"/>
      <c r="D28" s="3"/>
      <c r="E28" s="3"/>
      <c r="F28" s="3"/>
      <c r="G28" s="3"/>
      <c r="H28" s="3"/>
    </row>
    <row r="30" customFormat="false" ht="15" hidden="false" customHeight="false" outlineLevel="0" collapsed="false">
      <c r="A30" s="47" t="s">
        <v>597</v>
      </c>
    </row>
    <row r="31" customFormat="false" ht="15" hidden="false" customHeight="false" outlineLevel="0" collapsed="false">
      <c r="A31" s="4" t="str">
        <f aca="false">A9</f>
        <v>  Core business baseline carryover</v>
      </c>
      <c r="C31" s="44"/>
      <c r="D31" s="44" t="n">
        <f aca="false">IFERROR((D25-D47)*D9/D25,0)</f>
        <v>38000</v>
      </c>
      <c r="E31" s="44" t="n">
        <f aca="false">IFERROR((E25-E47)*E9/E25,0)</f>
        <v>52200</v>
      </c>
      <c r="F31" s="44" t="n">
        <f aca="false">IFERROR((F25-F47)*F9/F25,0)</f>
        <v>65975</v>
      </c>
      <c r="G31" s="44" t="n">
        <f aca="false">IFERROR((G25-G47)*G9/G25,0)</f>
        <v>80489.5</v>
      </c>
      <c r="H31" s="44" t="n">
        <f aca="false">IFERROR((H25-H47)*H9/H25,0)</f>
        <v>90700.168</v>
      </c>
    </row>
    <row r="32" customFormat="false" ht="15" hidden="false" customHeight="false" outlineLevel="0" collapsed="false">
      <c r="A32" s="4" t="str">
        <f aca="false">A10</f>
        <v>  Capped baseline growth</v>
      </c>
      <c r="C32" s="44"/>
      <c r="D32" s="44" t="n">
        <f aca="false">IFERROR((D25-D47)*D10/D25,0)</f>
        <v>17100</v>
      </c>
      <c r="E32" s="44" t="n">
        <f aca="false">IFERROR((E25-E47)*E10/E25,0)</f>
        <v>15660</v>
      </c>
      <c r="F32" s="44" t="n">
        <f aca="false">IFERROR((F25-F47)*F10/F25,0)</f>
        <v>14514.5</v>
      </c>
      <c r="G32" s="44" t="n">
        <f aca="false">IFERROR((G25-G47)*G10/G25,0)</f>
        <v>12878.32</v>
      </c>
      <c r="H32" s="44" t="n">
        <f aca="false">IFERROR((H25-H47)*H10/H25,0)</f>
        <v>9070.0168</v>
      </c>
    </row>
    <row r="33" customFormat="false" ht="15" hidden="false" customHeight="false" outlineLevel="0" collapsed="false">
      <c r="A33" s="47" t="s">
        <v>598</v>
      </c>
    </row>
    <row r="34" customFormat="false" ht="15" hidden="false" customHeight="false" outlineLevel="0" collapsed="false">
      <c r="A34" s="4" t="str">
        <f aca="false">A13</f>
        <v>  Core business excess upside</v>
      </c>
      <c r="C34" s="44"/>
      <c r="D34" s="44" t="n">
        <f aca="false">IFERROR((D25-D47)*D13/D25,0)</f>
        <v>-55100</v>
      </c>
      <c r="E34" s="44" t="n">
        <f aca="false">IFERROR((E25-E47)*E13/E25,0)</f>
        <v>-67860</v>
      </c>
      <c r="F34" s="44" t="n">
        <f aca="false">IFERROR((F25-F47)*F13/F25,0)</f>
        <v>-80489.5</v>
      </c>
      <c r="G34" s="44" t="n">
        <f aca="false">IFERROR((G25-G47)*G13/G25,0)</f>
        <v>-93367.82</v>
      </c>
      <c r="H34" s="44" t="n">
        <f aca="false">IFERROR((H25-H47)*H13/H25,0)</f>
        <v>-99770.1848</v>
      </c>
    </row>
    <row r="35" customFormat="false" ht="15" hidden="false" customHeight="false" outlineLevel="0" collapsed="false">
      <c r="A35" s="4" t="str">
        <f aca="false">A14</f>
        <v/>
      </c>
      <c r="C35" s="44"/>
      <c r="D35" s="44" t="n">
        <f aca="false">IFERROR((D25-D47)*D14/D25,0)</f>
        <v>0</v>
      </c>
      <c r="E35" s="44" t="n">
        <f aca="false">IFERROR((E25-E47)*E14/E25,0)</f>
        <v>0</v>
      </c>
      <c r="F35" s="44" t="n">
        <f aca="false">IFERROR((F25-F47)*F14/F25,0)</f>
        <v>0</v>
      </c>
      <c r="G35" s="44" t="n">
        <f aca="false">IFERROR((G25-G47)*G14/G25,0)</f>
        <v>0</v>
      </c>
      <c r="H35" s="44" t="n">
        <f aca="false">IFERROR((H25-H47)*H14/H25,0)</f>
        <v>0</v>
      </c>
    </row>
    <row r="36" customFormat="false" ht="15" hidden="false" customHeight="false" outlineLevel="0" collapsed="false">
      <c r="A36" s="4" t="str">
        <f aca="false">A15</f>
        <v/>
      </c>
      <c r="C36" s="44"/>
      <c r="D36" s="44" t="n">
        <f aca="false">IFERROR((D25-D47)*D15/D25,0)</f>
        <v>0</v>
      </c>
      <c r="E36" s="44" t="n">
        <f aca="false">IFERROR((E25-E47)*E15/E25,0)</f>
        <v>0</v>
      </c>
      <c r="F36" s="44" t="n">
        <f aca="false">IFERROR((F25-F47)*F15/F25,0)</f>
        <v>0</v>
      </c>
      <c r="G36" s="44" t="n">
        <f aca="false">IFERROR((G25-G47)*G15/G25,0)</f>
        <v>0</v>
      </c>
      <c r="H36" s="44" t="n">
        <f aca="false">IFERROR((H25-H47)*H15/H25,0)</f>
        <v>0</v>
      </c>
    </row>
    <row r="37" customFormat="false" ht="15" hidden="false" customHeight="false" outlineLevel="0" collapsed="false">
      <c r="A37" s="4" t="str">
        <f aca="false">A16</f>
        <v/>
      </c>
      <c r="C37" s="44"/>
      <c r="D37" s="44" t="n">
        <f aca="false">IFERROR((D25-D47)*D16/D25,0)</f>
        <v>0</v>
      </c>
      <c r="E37" s="44" t="n">
        <f aca="false">IFERROR((E25-E47)*E16/E25,0)</f>
        <v>0</v>
      </c>
      <c r="F37" s="44" t="n">
        <f aca="false">IFERROR((F25-F47)*F16/F25,0)</f>
        <v>0</v>
      </c>
      <c r="G37" s="44" t="n">
        <f aca="false">IFERROR((G25-G47)*G16/G25,0)</f>
        <v>0</v>
      </c>
      <c r="H37" s="44" t="n">
        <f aca="false">IFERROR((H25-H47)*H16/H25,0)</f>
        <v>0</v>
      </c>
    </row>
    <row r="38" customFormat="false" ht="15" hidden="false" customHeight="false" outlineLevel="0" collapsed="false">
      <c r="A38" s="4" t="str">
        <f aca="false">A17</f>
        <v/>
      </c>
      <c r="C38" s="44"/>
      <c r="D38" s="44" t="n">
        <f aca="false">IFERROR((D25-D47)*D17/D25,0)</f>
        <v>0</v>
      </c>
      <c r="E38" s="44" t="n">
        <f aca="false">IFERROR((E25-E47)*E17/E25,0)</f>
        <v>0</v>
      </c>
      <c r="F38" s="44" t="n">
        <f aca="false">IFERROR((F25-F47)*F17/F25,0)</f>
        <v>0</v>
      </c>
      <c r="G38" s="44" t="n">
        <f aca="false">IFERROR((G25-G47)*G17/G25,0)</f>
        <v>0</v>
      </c>
      <c r="H38" s="44" t="n">
        <f aca="false">IFERROR((H25-H47)*H17/H25,0)</f>
        <v>0</v>
      </c>
    </row>
    <row r="39" customFormat="false" ht="15" hidden="false" customHeight="false" outlineLevel="0" collapsed="false">
      <c r="A39" s="4" t="str">
        <f aca="false">A18</f>
        <v/>
      </c>
      <c r="C39" s="44"/>
      <c r="D39" s="44" t="n">
        <f aca="false">IFERROR((D25-D47)*D18/D25,0)</f>
        <v>0</v>
      </c>
      <c r="E39" s="44" t="n">
        <f aca="false">IFERROR((E25-E47)*E18/E25,0)</f>
        <v>0</v>
      </c>
      <c r="F39" s="44" t="n">
        <f aca="false">IFERROR((F25-F47)*F18/F25,0)</f>
        <v>0</v>
      </c>
      <c r="G39" s="44" t="n">
        <f aca="false">IFERROR((G25-G47)*G18/G25,0)</f>
        <v>0</v>
      </c>
      <c r="H39" s="44" t="n">
        <f aca="false">IFERROR((H25-H47)*H18/H25,0)</f>
        <v>0</v>
      </c>
    </row>
    <row r="40" customFormat="false" ht="15" hidden="false" customHeight="false" outlineLevel="0" collapsed="false">
      <c r="A40" s="4" t="str">
        <f aca="false">A19</f>
        <v/>
      </c>
      <c r="C40" s="44"/>
      <c r="D40" s="44" t="n">
        <f aca="false">IFERROR((D25-D47)*D19/D25,0)</f>
        <v>0</v>
      </c>
      <c r="E40" s="44" t="n">
        <f aca="false">IFERROR((E25-E47)*E19/E25,0)</f>
        <v>0</v>
      </c>
      <c r="F40" s="44" t="n">
        <f aca="false">IFERROR((F25-F47)*F19/F25,0)</f>
        <v>0</v>
      </c>
      <c r="G40" s="44" t="n">
        <f aca="false">IFERROR((G25-G47)*G19/G25,0)</f>
        <v>0</v>
      </c>
      <c r="H40" s="44" t="n">
        <f aca="false">IFERROR((H25-H47)*H19/H25,0)</f>
        <v>0</v>
      </c>
    </row>
    <row r="41" customFormat="false" ht="15" hidden="false" customHeight="false" outlineLevel="0" collapsed="false">
      <c r="A41" s="4" t="str">
        <f aca="false">A20</f>
        <v/>
      </c>
      <c r="C41" s="44"/>
      <c r="D41" s="44" t="n">
        <f aca="false">IFERROR((D25-D47)*D20/D25,0)</f>
        <v>0</v>
      </c>
      <c r="E41" s="44" t="n">
        <f aca="false">IFERROR((E25-E47)*E20/E25,0)</f>
        <v>0</v>
      </c>
      <c r="F41" s="44" t="n">
        <f aca="false">IFERROR((F25-F47)*F20/F25,0)</f>
        <v>0</v>
      </c>
      <c r="G41" s="44" t="n">
        <f aca="false">IFERROR((G25-G47)*G20/G25,0)</f>
        <v>0</v>
      </c>
      <c r="H41" s="44" t="n">
        <f aca="false">IFERROR((H25-H47)*H20/H25,0)</f>
        <v>0</v>
      </c>
    </row>
    <row r="42" customFormat="false" ht="15" hidden="false" customHeight="false" outlineLevel="0" collapsed="false">
      <c r="A42" s="4" t="str">
        <f aca="false">A21</f>
        <v/>
      </c>
      <c r="C42" s="44"/>
      <c r="D42" s="44" t="n">
        <f aca="false">IFERROR((D25-D47)*D21/D25,0)</f>
        <v>0</v>
      </c>
      <c r="E42" s="44" t="n">
        <f aca="false">IFERROR((E25-E47)*E21/E25,0)</f>
        <v>0</v>
      </c>
      <c r="F42" s="44" t="n">
        <f aca="false">IFERROR((F25-F47)*F21/F25,0)</f>
        <v>0</v>
      </c>
      <c r="G42" s="44" t="n">
        <f aca="false">IFERROR((G25-G47)*G21/G25,0)</f>
        <v>0</v>
      </c>
      <c r="H42" s="44" t="n">
        <f aca="false">IFERROR((H25-H47)*H21/H25,0)</f>
        <v>0</v>
      </c>
    </row>
    <row r="43" customFormat="false" ht="15" hidden="false" customHeight="false" outlineLevel="0" collapsed="false">
      <c r="A43" s="4" t="str">
        <f aca="false">A22</f>
        <v>  Unallocated model adjustment</v>
      </c>
      <c r="C43" s="44"/>
      <c r="D43" s="44" t="n">
        <f aca="false">IFERROR((D25-D47)*D22/D25,0)</f>
        <v>55100</v>
      </c>
      <c r="E43" s="44" t="n">
        <f aca="false">IFERROR((E25-E47)*E22/E25,0)</f>
        <v>67860</v>
      </c>
      <c r="F43" s="44" t="n">
        <f aca="false">IFERROR((F25-F47)*F22/F25,0)</f>
        <v>80489.5</v>
      </c>
      <c r="G43" s="44" t="n">
        <f aca="false">IFERROR((G25-G47)*G22/G25,0)</f>
        <v>93367.82</v>
      </c>
      <c r="H43" s="44" t="n">
        <f aca="false">IFERROR((H25-H47)*H22/H25,0)</f>
        <v>99770.1848</v>
      </c>
    </row>
    <row r="44" customFormat="false" ht="15" hidden="false" customHeight="false" outlineLevel="0" collapsed="false">
      <c r="A44" s="47" t="s">
        <v>599</v>
      </c>
      <c r="B44" s="7" t="s">
        <v>536</v>
      </c>
      <c r="C44" s="44"/>
      <c r="D44" s="48" t="n">
        <f aca="false">SUM(D31:D43)</f>
        <v>55100</v>
      </c>
      <c r="E44" s="48" t="n">
        <f aca="false">SUM(E31:E43)</f>
        <v>67860</v>
      </c>
      <c r="F44" s="48" t="n">
        <f aca="false">SUM(F31:F43)</f>
        <v>80489.5</v>
      </c>
      <c r="G44" s="48" t="n">
        <f aca="false">SUM(G31:G43)</f>
        <v>93367.82</v>
      </c>
      <c r="H44" s="48" t="n">
        <f aca="false">SUM(H31:H43)</f>
        <v>99770.1848</v>
      </c>
    </row>
    <row r="46" customFormat="false" ht="15" hidden="false" customHeight="false" outlineLevel="0" collapsed="false">
      <c r="A46" s="3" t="s">
        <v>600</v>
      </c>
      <c r="B46" s="3"/>
      <c r="C46" s="3"/>
      <c r="D46" s="3"/>
      <c r="E46" s="3"/>
      <c r="F46" s="3"/>
      <c r="G46" s="3"/>
      <c r="H46" s="3"/>
    </row>
    <row r="47" customFormat="false" ht="15" hidden="false" customHeight="false" outlineLevel="0" collapsed="false">
      <c r="A47" s="4" t="s">
        <v>538</v>
      </c>
      <c r="B47" s="7" t="s">
        <v>536</v>
      </c>
      <c r="C47" s="44" t="n">
        <f aca="false">IFERROR(gross_profit_y0,"")</f>
        <v>0</v>
      </c>
      <c r="D47" s="44" t="n">
        <f aca="false">D25*gross_margin_y1</f>
        <v>89900</v>
      </c>
      <c r="E47" s="44" t="n">
        <f aca="false">E25*gross_margin_y2</f>
        <v>120640</v>
      </c>
      <c r="F47" s="44" t="n">
        <f aca="false">F25*gross_margin_y3</f>
        <v>149480.5</v>
      </c>
      <c r="G47" s="44" t="n">
        <f aca="false">G25*gross_margin_y4</f>
        <v>173397.38</v>
      </c>
      <c r="H47" s="44" t="n">
        <f aca="false">H25*gross_margin_y5</f>
        <v>193671.5352</v>
      </c>
    </row>
    <row r="48" customFormat="false" ht="15" hidden="false" customHeight="false" outlineLevel="0" collapsed="false">
      <c r="A48" s="4" t="s">
        <v>601</v>
      </c>
      <c r="B48" s="7" t="s">
        <v>588</v>
      </c>
      <c r="C48" s="0" t="n">
        <f aca="false">IFERROR(gross_profit_y0/revenue_y0,"")</f>
        <v>0</v>
      </c>
      <c r="D48" s="45" t="n">
        <f aca="false">gross_margin_y1</f>
        <v>0.62</v>
      </c>
      <c r="E48" s="45" t="n">
        <f aca="false">gross_margin_y2</f>
        <v>0.64</v>
      </c>
      <c r="F48" s="45" t="n">
        <f aca="false">gross_margin_y3</f>
        <v>0.65</v>
      </c>
      <c r="G48" s="45" t="n">
        <f aca="false">gross_margin_y4</f>
        <v>0.65</v>
      </c>
      <c r="H48" s="45" t="n">
        <f aca="false">gross_margin_y5</f>
        <v>0.66</v>
      </c>
    </row>
    <row r="49" customFormat="false" ht="15" hidden="false" customHeight="false" outlineLevel="0" collapsed="false">
      <c r="A49" s="4" t="s">
        <v>539</v>
      </c>
      <c r="B49" s="7" t="s">
        <v>536</v>
      </c>
      <c r="C49" s="44" t="n">
        <f aca="false">IFERROR(opex_y0,"")</f>
        <v>0</v>
      </c>
      <c r="D49" s="44" t="n">
        <f aca="false">-(D25-D107)*opex_pct_revenue_y1+D108</f>
        <v>-79750</v>
      </c>
      <c r="E49" s="44" t="n">
        <f aca="false">-(E25-E107)*opex_pct_revenue_y2+E108</f>
        <v>-94250</v>
      </c>
      <c r="F49" s="44" t="n">
        <f aca="false">-(F25-F107)*opex_pct_revenue_y3+F108</f>
        <v>-103486.5</v>
      </c>
      <c r="G49" s="44" t="n">
        <f aca="false">-(G25-G107)*opex_pct_revenue_y4+G108</f>
        <v>-112041.384</v>
      </c>
      <c r="H49" s="44" t="n">
        <f aca="false">-(H25-H107)*opex_pct_revenue_y5+H108</f>
        <v>-117376.688</v>
      </c>
    </row>
    <row r="50" customFormat="false" ht="15" hidden="false" customHeight="false" outlineLevel="0" collapsed="false">
      <c r="A50" s="4" t="s">
        <v>185</v>
      </c>
      <c r="B50" s="7" t="s">
        <v>536</v>
      </c>
      <c r="C50" s="44" t="n">
        <f aca="false">IFERROR(ebitda_y0,"")</f>
        <v>0</v>
      </c>
      <c r="D50" s="44" t="n">
        <f aca="false">D47+D49</f>
        <v>10150</v>
      </c>
      <c r="E50" s="44" t="n">
        <f aca="false">E47+E49</f>
        <v>26390</v>
      </c>
      <c r="F50" s="44" t="n">
        <f aca="false">F47+F49</f>
        <v>45994</v>
      </c>
      <c r="G50" s="44" t="n">
        <f aca="false">G47+G49</f>
        <v>61355.996</v>
      </c>
      <c r="H50" s="44" t="n">
        <f aca="false">H47+H49</f>
        <v>76294.8472</v>
      </c>
    </row>
    <row r="51" customFormat="false" ht="15" hidden="false" customHeight="false" outlineLevel="0" collapsed="false">
      <c r="A51" s="4" t="s">
        <v>602</v>
      </c>
      <c r="B51" s="7" t="s">
        <v>588</v>
      </c>
      <c r="C51" s="0" t="n">
        <f aca="false">IFERROR(ebitda_y0/revenue_y0,"")</f>
        <v>0</v>
      </c>
      <c r="D51" s="45" t="n">
        <f aca="false">IFERROR(D50/D25,0)</f>
        <v>0.07</v>
      </c>
      <c r="E51" s="45" t="n">
        <f aca="false">IFERROR(E50/E25,0)</f>
        <v>0.14</v>
      </c>
      <c r="F51" s="45" t="n">
        <f aca="false">IFERROR(F50/F25,0)</f>
        <v>0.2</v>
      </c>
      <c r="G51" s="45" t="n">
        <f aca="false">IFERROR(G50/G25,0)</f>
        <v>0.23</v>
      </c>
      <c r="H51" s="45" t="n">
        <f aca="false">IFERROR(H50/H25,0)</f>
        <v>0.26</v>
      </c>
    </row>
    <row r="52" customFormat="false" ht="15" hidden="false" customHeight="false" outlineLevel="0" collapsed="false">
      <c r="A52" s="4" t="s">
        <v>542</v>
      </c>
      <c r="B52" s="7" t="s">
        <v>536</v>
      </c>
      <c r="C52" s="44"/>
      <c r="D52" s="44" t="n">
        <f aca="false">-D25*dep_pct_revenue_y1</f>
        <v>-5800</v>
      </c>
      <c r="E52" s="44" t="n">
        <f aca="false">-E25*dep_pct_revenue_y2</f>
        <v>-7540</v>
      </c>
      <c r="F52" s="44" t="n">
        <f aca="false">-F25*dep_pct_revenue_y3</f>
        <v>-9198.8</v>
      </c>
      <c r="G52" s="44" t="n">
        <f aca="false">-G25*dep_pct_revenue_y4</f>
        <v>-10670.608</v>
      </c>
      <c r="H52" s="44" t="n">
        <f aca="false">-H25*dep_pct_revenue_y5</f>
        <v>-11737.6688</v>
      </c>
    </row>
    <row r="53" customFormat="false" ht="15" hidden="false" customHeight="false" outlineLevel="0" collapsed="false">
      <c r="A53" s="4" t="s">
        <v>603</v>
      </c>
      <c r="B53" s="7" t="s">
        <v>536</v>
      </c>
      <c r="C53" s="44" t="n">
        <f aca="false">IFERROR(ebit_y0,"")</f>
        <v>0</v>
      </c>
      <c r="D53" s="44" t="n">
        <f aca="false">D50+D52</f>
        <v>4350</v>
      </c>
      <c r="E53" s="44" t="n">
        <f aca="false">E50+E52</f>
        <v>18850</v>
      </c>
      <c r="F53" s="44" t="n">
        <f aca="false">F50+F52</f>
        <v>36795.2</v>
      </c>
      <c r="G53" s="44" t="n">
        <f aca="false">G50+G52</f>
        <v>50685.388</v>
      </c>
      <c r="H53" s="44" t="n">
        <f aca="false">H50+H52</f>
        <v>64557.1784</v>
      </c>
    </row>
    <row r="54" customFormat="false" ht="15" hidden="false" customHeight="false" outlineLevel="0" collapsed="false">
      <c r="A54" s="4" t="s">
        <v>604</v>
      </c>
      <c r="B54" s="7" t="s">
        <v>588</v>
      </c>
      <c r="C54" s="0" t="n">
        <f aca="false">IFERROR(ebit_y0/revenue_y0,"")</f>
        <v>0</v>
      </c>
      <c r="D54" s="45" t="n">
        <f aca="false">IFERROR(D53/D25,0)</f>
        <v>0.03</v>
      </c>
      <c r="E54" s="45" t="n">
        <f aca="false">IFERROR(E53/E25,0)</f>
        <v>0.1</v>
      </c>
      <c r="F54" s="45" t="n">
        <f aca="false">IFERROR(F53/F25,0)</f>
        <v>0.16</v>
      </c>
      <c r="G54" s="45" t="n">
        <f aca="false">IFERROR(G53/G25,0)</f>
        <v>0.19</v>
      </c>
      <c r="H54" s="45" t="n">
        <f aca="false">IFERROR(H53/H25,0)</f>
        <v>0.22</v>
      </c>
    </row>
    <row r="56" customFormat="false" ht="15" hidden="false" customHeight="false" outlineLevel="0" collapsed="false">
      <c r="A56" s="3" t="s">
        <v>605</v>
      </c>
      <c r="B56" s="3"/>
      <c r="C56" s="3"/>
      <c r="D56" s="3"/>
      <c r="E56" s="3"/>
      <c r="F56" s="3"/>
      <c r="G56" s="3"/>
      <c r="H56" s="3"/>
    </row>
    <row r="57" customFormat="false" ht="15" hidden="false" customHeight="false" outlineLevel="0" collapsed="false">
      <c r="A57" s="4" t="s">
        <v>606</v>
      </c>
      <c r="B57" s="7" t="s">
        <v>536</v>
      </c>
      <c r="C57" s="44" t="n">
        <f aca="false">IFERROR(tax_y0,"")</f>
        <v>0</v>
      </c>
      <c r="D57" s="44" t="n">
        <f aca="false">IF(ISNUMBER(tax_effective_rate),-MAX(D53,0)*tax_effective_rate,IF(EXACT(tax_type,"two_tier"),IF(D53&lt;=tax_threshold,-MAX(D53,0)*tax_rate_low,-(tax_threshold*tax_rate_low+MAX(D53-tax_threshold,0)*tax_rate_high)),-MAX(D53,0)*tax_rate_high))</f>
        <v>-739.5</v>
      </c>
      <c r="E57" s="44" t="n">
        <f aca="false">IF(ISNUMBER(tax_effective_rate),-MAX(E53,0)*tax_effective_rate,IF(EXACT(tax_type,"two_tier"),IF(E53&lt;=tax_threshold,-MAX(E53,0)*tax_rate_low,-(tax_threshold*tax_rate_low+MAX(E53-tax_threshold,0)*tax_rate_high)),-MAX(E53,0)*tax_rate_high))</f>
        <v>-3204.5</v>
      </c>
      <c r="F57" s="44" t="n">
        <f aca="false">IF(ISNUMBER(tax_effective_rate),-MAX(F53,0)*tax_effective_rate,IF(EXACT(tax_type,"two_tier"),IF(F53&lt;=tax_threshold,-MAX(F53,0)*tax_rate_low,-(tax_threshold*tax_rate_low+MAX(F53-tax_threshold,0)*tax_rate_high)),-MAX(F53,0)*tax_rate_high))</f>
        <v>-6255.184</v>
      </c>
      <c r="G57" s="44" t="n">
        <f aca="false">IF(ISNUMBER(tax_effective_rate),-MAX(G53,0)*tax_effective_rate,IF(EXACT(tax_type,"two_tier"),IF(G53&lt;=tax_threshold,-MAX(G53,0)*tax_rate_low,-(tax_threshold*tax_rate_low+MAX(G53-tax_threshold,0)*tax_rate_high)),-MAX(G53,0)*tax_rate_high))</f>
        <v>-8616.51596</v>
      </c>
      <c r="H57" s="44" t="n">
        <f aca="false">IF(ISNUMBER(tax_effective_rate),-MAX(H53,0)*tax_effective_rate,IF(EXACT(tax_type,"two_tier"),IF(H53&lt;=tax_threshold,-MAX(H53,0)*tax_rate_low,-(tax_threshold*tax_rate_low+MAX(H53-tax_threshold,0)*tax_rate_high)),-MAX(H53,0)*tax_rate_high))</f>
        <v>-10974.720328</v>
      </c>
    </row>
    <row r="58" customFormat="false" ht="15" hidden="false" customHeight="false" outlineLevel="0" collapsed="false">
      <c r="A58" s="4" t="s">
        <v>548</v>
      </c>
      <c r="B58" s="7" t="s">
        <v>536</v>
      </c>
      <c r="C58" s="44" t="n">
        <f aca="false">IFERROR(net_income_y0,"")</f>
        <v>0</v>
      </c>
      <c r="D58" s="44" t="n">
        <f aca="false">D53+D57</f>
        <v>3610.5</v>
      </c>
      <c r="E58" s="44" t="n">
        <f aca="false">E53+E57</f>
        <v>15645.5</v>
      </c>
      <c r="F58" s="44" t="n">
        <f aca="false">F53+F57</f>
        <v>30540.016</v>
      </c>
      <c r="G58" s="44" t="n">
        <f aca="false">G53+G57</f>
        <v>42068.87204</v>
      </c>
      <c r="H58" s="44" t="n">
        <f aca="false">H53+H57</f>
        <v>53582.458072</v>
      </c>
    </row>
    <row r="60" customFormat="false" ht="15" hidden="false" customHeight="false" outlineLevel="0" collapsed="false">
      <c r="A60" s="3" t="s">
        <v>607</v>
      </c>
      <c r="B60" s="3"/>
      <c r="C60" s="3"/>
      <c r="D60" s="3"/>
      <c r="E60" s="3"/>
      <c r="F60" s="3"/>
      <c r="G60" s="3"/>
      <c r="H60" s="3"/>
    </row>
    <row r="61" customFormat="false" ht="15" hidden="false" customHeight="false" outlineLevel="0" collapsed="false">
      <c r="A61" s="4" t="s">
        <v>608</v>
      </c>
      <c r="B61" s="7" t="s">
        <v>536</v>
      </c>
      <c r="C61" s="44"/>
      <c r="D61" s="44" t="n">
        <f aca="false">-D25*capex_pct_revenue_y1</f>
        <v>-8700</v>
      </c>
      <c r="E61" s="44" t="n">
        <f aca="false">-E25*capex_pct_revenue_y2</f>
        <v>-9425</v>
      </c>
      <c r="F61" s="44" t="n">
        <f aca="false">-F25*capex_pct_revenue_y3</f>
        <v>-9198.8</v>
      </c>
      <c r="G61" s="44" t="n">
        <f aca="false">-G25*capex_pct_revenue_y4</f>
        <v>-10670.608</v>
      </c>
      <c r="H61" s="44" t="n">
        <f aca="false">-H25*capex_pct_revenue_y5</f>
        <v>-11737.6688</v>
      </c>
    </row>
    <row r="62" customFormat="false" ht="15" hidden="false" customHeight="false" outlineLevel="0" collapsed="false">
      <c r="A62" s="4" t="s">
        <v>609</v>
      </c>
      <c r="B62" s="7" t="s">
        <v>584</v>
      </c>
      <c r="C62" s="43" t="n">
        <f aca="false">nwc_y0</f>
        <v>8000</v>
      </c>
      <c r="D62" s="44" t="n">
        <f aca="false">D25*nwc_pct_sales_y1</f>
        <v>11600</v>
      </c>
      <c r="E62" s="44" t="n">
        <f aca="false">E25*nwc_pct_sales_y2</f>
        <v>15080</v>
      </c>
      <c r="F62" s="44" t="n">
        <f aca="false">F25*nwc_pct_sales_y3</f>
        <v>18397.6</v>
      </c>
      <c r="G62" s="44" t="n">
        <f aca="false">G25*nwc_pct_sales_y4</f>
        <v>21341.216</v>
      </c>
      <c r="H62" s="44" t="n">
        <f aca="false">H25*nwc_pct_sales_y5</f>
        <v>23475.3376</v>
      </c>
    </row>
    <row r="63" customFormat="false" ht="15" hidden="false" customHeight="false" outlineLevel="0" collapsed="false">
      <c r="A63" s="4" t="s">
        <v>610</v>
      </c>
      <c r="B63" s="7" t="s">
        <v>536</v>
      </c>
      <c r="C63" s="44"/>
      <c r="D63" s="44" t="n">
        <f aca="false">-(D62-C62)</f>
        <v>-3600</v>
      </c>
      <c r="E63" s="44" t="n">
        <f aca="false">-(E62-D62)</f>
        <v>-3480</v>
      </c>
      <c r="F63" s="44" t="n">
        <f aca="false">-(F62-E62)</f>
        <v>-3317.6</v>
      </c>
      <c r="G63" s="44" t="n">
        <f aca="false">-(G62-F62)</f>
        <v>-2943.61599999999</v>
      </c>
      <c r="H63" s="44" t="n">
        <f aca="false">-(H62-G62)</f>
        <v>-2134.1216</v>
      </c>
    </row>
    <row r="65" customFormat="false" ht="15" hidden="false" customHeight="false" outlineLevel="0" collapsed="false">
      <c r="A65" s="3" t="s">
        <v>611</v>
      </c>
      <c r="B65" s="3"/>
      <c r="C65" s="3"/>
      <c r="D65" s="3"/>
      <c r="E65" s="3"/>
      <c r="F65" s="3"/>
      <c r="G65" s="3"/>
      <c r="H65" s="3"/>
    </row>
    <row r="66" customFormat="false" ht="15" hidden="false" customHeight="false" outlineLevel="0" collapsed="false">
      <c r="A66" s="4" t="s">
        <v>603</v>
      </c>
      <c r="B66" s="7" t="s">
        <v>536</v>
      </c>
      <c r="C66" s="44"/>
      <c r="D66" s="44" t="n">
        <f aca="false">D53</f>
        <v>4350</v>
      </c>
      <c r="E66" s="44" t="n">
        <f aca="false">E53</f>
        <v>18850</v>
      </c>
      <c r="F66" s="44" t="n">
        <f aca="false">F53</f>
        <v>36795.2</v>
      </c>
      <c r="G66" s="44" t="n">
        <f aca="false">G53</f>
        <v>50685.388</v>
      </c>
      <c r="H66" s="44" t="n">
        <f aca="false">H53</f>
        <v>64557.1784</v>
      </c>
    </row>
    <row r="67" customFormat="false" ht="15" hidden="false" customHeight="false" outlineLevel="0" collapsed="false">
      <c r="A67" s="4" t="s">
        <v>612</v>
      </c>
      <c r="B67" s="7" t="s">
        <v>536</v>
      </c>
      <c r="C67" s="44"/>
      <c r="D67" s="44" t="n">
        <f aca="false">D57</f>
        <v>-739.5</v>
      </c>
      <c r="E67" s="44" t="n">
        <f aca="false">E57</f>
        <v>-3204.5</v>
      </c>
      <c r="F67" s="44" t="n">
        <f aca="false">F57</f>
        <v>-6255.184</v>
      </c>
      <c r="G67" s="44" t="n">
        <f aca="false">G57</f>
        <v>-8616.51596</v>
      </c>
      <c r="H67" s="44" t="n">
        <f aca="false">H57</f>
        <v>-10974.720328</v>
      </c>
    </row>
    <row r="68" customFormat="false" ht="15" hidden="false" customHeight="false" outlineLevel="0" collapsed="false">
      <c r="A68" s="4" t="s">
        <v>613</v>
      </c>
      <c r="B68" s="7" t="s">
        <v>536</v>
      </c>
      <c r="C68" s="44"/>
      <c r="D68" s="44" t="n">
        <f aca="false">-D52</f>
        <v>5800</v>
      </c>
      <c r="E68" s="44" t="n">
        <f aca="false">-E52</f>
        <v>7540</v>
      </c>
      <c r="F68" s="44" t="n">
        <f aca="false">-F52</f>
        <v>9198.8</v>
      </c>
      <c r="G68" s="44" t="n">
        <f aca="false">-G52</f>
        <v>10670.608</v>
      </c>
      <c r="H68" s="44" t="n">
        <f aca="false">-H52</f>
        <v>11737.6688</v>
      </c>
    </row>
    <row r="69" customFormat="false" ht="15" hidden="false" customHeight="false" outlineLevel="0" collapsed="false">
      <c r="A69" s="4" t="s">
        <v>614</v>
      </c>
      <c r="B69" s="7" t="s">
        <v>536</v>
      </c>
      <c r="C69" s="44"/>
      <c r="D69" s="44" t="n">
        <f aca="false">D61</f>
        <v>-8700</v>
      </c>
      <c r="E69" s="44" t="n">
        <f aca="false">E61</f>
        <v>-9425</v>
      </c>
      <c r="F69" s="44" t="n">
        <f aca="false">F61</f>
        <v>-9198.8</v>
      </c>
      <c r="G69" s="44" t="n">
        <f aca="false">G61</f>
        <v>-10670.608</v>
      </c>
      <c r="H69" s="44" t="n">
        <f aca="false">H61</f>
        <v>-11737.6688</v>
      </c>
    </row>
    <row r="70" customFormat="false" ht="15" hidden="false" customHeight="false" outlineLevel="0" collapsed="false">
      <c r="A70" s="4" t="s">
        <v>615</v>
      </c>
      <c r="B70" s="7" t="s">
        <v>536</v>
      </c>
      <c r="C70" s="44"/>
      <c r="D70" s="44" t="n">
        <f aca="false">D63</f>
        <v>-3600</v>
      </c>
      <c r="E70" s="44" t="n">
        <f aca="false">E63</f>
        <v>-3480</v>
      </c>
      <c r="F70" s="44" t="n">
        <f aca="false">F63</f>
        <v>-3317.6</v>
      </c>
      <c r="G70" s="44" t="n">
        <f aca="false">G63</f>
        <v>-2943.61599999999</v>
      </c>
      <c r="H70" s="44" t="n">
        <f aca="false">H63</f>
        <v>-2134.1216</v>
      </c>
    </row>
    <row r="71" customFormat="false" ht="15" hidden="false" customHeight="false" outlineLevel="0" collapsed="false">
      <c r="A71" s="47" t="s">
        <v>616</v>
      </c>
      <c r="B71" s="7" t="s">
        <v>536</v>
      </c>
      <c r="C71" s="44"/>
      <c r="D71" s="48" t="n">
        <f aca="false">SUM(D66:D70)</f>
        <v>-2889.5</v>
      </c>
      <c r="E71" s="48" t="n">
        <f aca="false">SUM(E66:E70)</f>
        <v>10280.5</v>
      </c>
      <c r="F71" s="48" t="n">
        <f aca="false">SUM(F66:F70)</f>
        <v>27222.416</v>
      </c>
      <c r="G71" s="48" t="n">
        <f aca="false">SUM(G66:G70)</f>
        <v>39125.25604</v>
      </c>
      <c r="H71" s="48" t="n">
        <f aca="false">SUM(H66:H70)</f>
        <v>51448.336472</v>
      </c>
    </row>
    <row r="73" customFormat="false" ht="15" hidden="false" customHeight="false" outlineLevel="0" collapsed="false">
      <c r="A73" s="3" t="s">
        <v>617</v>
      </c>
      <c r="B73" s="3"/>
      <c r="C73" s="3"/>
      <c r="D73" s="3"/>
      <c r="E73" s="3"/>
      <c r="F73" s="3"/>
      <c r="G73" s="3"/>
      <c r="H73" s="3"/>
    </row>
    <row r="74" customFormat="false" ht="15" hidden="false" customHeight="false" outlineLevel="0" collapsed="false">
      <c r="A74" s="2" t="s">
        <v>618</v>
      </c>
      <c r="B74" s="2"/>
      <c r="C74" s="2"/>
      <c r="D74" s="2"/>
      <c r="E74" s="2"/>
      <c r="F74" s="2"/>
      <c r="G74" s="2"/>
      <c r="H74" s="2"/>
    </row>
    <row r="75" customFormat="false" ht="15" hidden="false" customHeight="false" outlineLevel="0" collapsed="false">
      <c r="A75" s="4" t="str">
        <f aca="false">IF(INDEX(segments_table,1,1)="","(segment slot 1 — unused)","Revenue — "&amp;INDEX(segments_table,1,1))</f>
        <v>(segment slot 1 — unused)</v>
      </c>
      <c r="C75" s="44" t="n">
        <f aca="false">IF(INDEX(segments_table,1,1)="",0,IF(N(INDEX(segments_table,1,2))=0,N(INDEX(segments_table,1,3)),0))</f>
        <v>0</v>
      </c>
      <c r="D75" s="44" t="n">
        <f aca="false">IF(INDEX(segments_table,1,1)="",0,IF(1&lt;N(INDEX(segments_table,1,2)),0,IF(1=N(INDEX(segments_table,1,2)),N(INDEX(segments_table,1,3)),C75*(1+N(INDEX(segments_table,1,3+(1-N(INDEX(segments_table,1,2)))))))))</f>
        <v>0</v>
      </c>
      <c r="E75" s="44" t="n">
        <f aca="false">IF(INDEX(segments_table,1,1)="",0,IF(2&lt;N(INDEX(segments_table,1,2)),0,IF(2=N(INDEX(segments_table,1,2)),N(INDEX(segments_table,1,3)),D75*(1+N(INDEX(segments_table,1,3+(2-N(INDEX(segments_table,1,2)))))))))</f>
        <v>0</v>
      </c>
      <c r="F75" s="44" t="n">
        <f aca="false">IF(INDEX(segments_table,1,1)="",0,IF(3&lt;N(INDEX(segments_table,1,2)),0,IF(3=N(INDEX(segments_table,1,2)),N(INDEX(segments_table,1,3)),E75*(1+N(INDEX(segments_table,1,3+(3-N(INDEX(segments_table,1,2)))))))))</f>
        <v>0</v>
      </c>
      <c r="G75" s="44" t="n">
        <f aca="false">IF(INDEX(segments_table,1,1)="",0,IF(4&lt;N(INDEX(segments_table,1,2)),0,IF(4=N(INDEX(segments_table,1,2)),N(INDEX(segments_table,1,3)),F75*(1+N(INDEX(segments_table,1,3+(4-N(INDEX(segments_table,1,2)))))))))</f>
        <v>0</v>
      </c>
      <c r="H75" s="44" t="n">
        <f aca="false">IF(INDEX(segments_table,1,1)="",0,IF(5&lt;N(INDEX(segments_table,1,2)),0,IF(5=N(INDEX(segments_table,1,2)),N(INDEX(segments_table,1,3)),G75*(1+N(INDEX(segments_table,1,3+(5-N(INDEX(segments_table,1,2)))))))))</f>
        <v>0</v>
      </c>
    </row>
    <row r="76" customFormat="false" ht="15" hidden="false" customHeight="false" outlineLevel="0" collapsed="false">
      <c r="A76" s="4" t="str">
        <f aca="false">IF(INDEX(segments_table,1,1)="","","COGS — "&amp;INDEX(segments_table,1,1))</f>
        <v/>
      </c>
      <c r="C76" s="44"/>
      <c r="D76" s="44" t="str">
        <f aca="false">IF(INDEX(segments_table,1,1)="","",-D75*(1-N(INDEX(segments_table,1,MIN(9+(1-N(INDEX(segments_table,1,2))),13)))))</f>
        <v/>
      </c>
      <c r="E76" s="44" t="str">
        <f aca="false">IF(INDEX(segments_table,1,1)="","",-E75*(1-N(INDEX(segments_table,1,MIN(9+(2-N(INDEX(segments_table,1,2))),13)))))</f>
        <v/>
      </c>
      <c r="F76" s="44" t="str">
        <f aca="false">IF(INDEX(segments_table,1,1)="","",-F75*(1-N(INDEX(segments_table,1,MIN(9+(3-N(INDEX(segments_table,1,2))),13)))))</f>
        <v/>
      </c>
      <c r="G76" s="44" t="str">
        <f aca="false">IF(INDEX(segments_table,1,1)="","",-G75*(1-N(INDEX(segments_table,1,MIN(9+(4-N(INDEX(segments_table,1,2))),13)))))</f>
        <v/>
      </c>
      <c r="H76" s="44" t="str">
        <f aca="false">IF(INDEX(segments_table,1,1)="","",-H75*(1-N(INDEX(segments_table,1,MIN(9+(5-N(INDEX(segments_table,1,2))),13)))))</f>
        <v/>
      </c>
    </row>
    <row r="77" customFormat="false" ht="15" hidden="false" customHeight="false" outlineLevel="0" collapsed="false">
      <c r="A77" s="4" t="str">
        <f aca="false">IF(INDEX(segments_table,1,1)="","",IF(COUNT(INDEX(segments_table,1,14):INDEX(segments_table,1,18))&gt;0,"Direct expenses — "&amp;INDEX(segments_table,1,1),"Direct expenses (allocated) — "&amp;INDEX(segments_table,1,1)))</f>
        <v/>
      </c>
      <c r="C77" s="44"/>
      <c r="D77" s="44" t="str">
        <f aca="false">IF(INDEX(segments_table,1,1)="","",IF(COUNT(INDEX(segments_table,1,14):INDEX(segments_table,1,18))&gt;0,-D75*N(INDEX(segments_table,1,MIN(14+(1-N(INDEX(segments_table,1,2))),18))),-D75*opex_pct_revenue_y1))</f>
        <v/>
      </c>
      <c r="E77" s="44" t="str">
        <f aca="false">IF(INDEX(segments_table,1,1)="","",IF(COUNT(INDEX(segments_table,1,14):INDEX(segments_table,1,18))&gt;0,-E75*N(INDEX(segments_table,1,MIN(14+(2-N(INDEX(segments_table,1,2))),18))),-E75*opex_pct_revenue_y2))</f>
        <v/>
      </c>
      <c r="F77" s="44" t="str">
        <f aca="false">IF(INDEX(segments_table,1,1)="","",IF(COUNT(INDEX(segments_table,1,14):INDEX(segments_table,1,18))&gt;0,-F75*N(INDEX(segments_table,1,MIN(14+(3-N(INDEX(segments_table,1,2))),18))),-F75*opex_pct_revenue_y3))</f>
        <v/>
      </c>
      <c r="G77" s="44" t="str">
        <f aca="false">IF(INDEX(segments_table,1,1)="","",IF(COUNT(INDEX(segments_table,1,14):INDEX(segments_table,1,18))&gt;0,-G75*N(INDEX(segments_table,1,MIN(14+(4-N(INDEX(segments_table,1,2))),18))),-G75*opex_pct_revenue_y4))</f>
        <v/>
      </c>
      <c r="H77" s="44" t="str">
        <f aca="false">IF(INDEX(segments_table,1,1)="","",IF(COUNT(INDEX(segments_table,1,14):INDEX(segments_table,1,18))&gt;0,-H75*N(INDEX(segments_table,1,MIN(14+(5-N(INDEX(segments_table,1,2))),18))),-H75*opex_pct_revenue_y5))</f>
        <v/>
      </c>
    </row>
    <row r="79" customFormat="false" ht="15" hidden="false" customHeight="false" outlineLevel="0" collapsed="false">
      <c r="A79" s="4" t="str">
        <f aca="false">IF(INDEX(segments_table,2,1)="","(segment slot 2 — unused)","Revenue — "&amp;INDEX(segments_table,2,1))</f>
        <v>(segment slot 2 — unused)</v>
      </c>
      <c r="C79" s="44" t="n">
        <f aca="false">IF(INDEX(segments_table,2,1)="",0,IF(N(INDEX(segments_table,2,2))=0,N(INDEX(segments_table,2,3)),0))</f>
        <v>0</v>
      </c>
      <c r="D79" s="44" t="n">
        <f aca="false">IF(INDEX(segments_table,2,1)="",0,IF(1&lt;N(INDEX(segments_table,2,2)),0,IF(1=N(INDEX(segments_table,2,2)),N(INDEX(segments_table,2,3)),C79*(1+N(INDEX(segments_table,2,3+(1-N(INDEX(segments_table,2,2)))))))))</f>
        <v>0</v>
      </c>
      <c r="E79" s="44" t="n">
        <f aca="false">IF(INDEX(segments_table,2,1)="",0,IF(2&lt;N(INDEX(segments_table,2,2)),0,IF(2=N(INDEX(segments_table,2,2)),N(INDEX(segments_table,2,3)),D79*(1+N(INDEX(segments_table,2,3+(2-N(INDEX(segments_table,2,2)))))))))</f>
        <v>0</v>
      </c>
      <c r="F79" s="44" t="n">
        <f aca="false">IF(INDEX(segments_table,2,1)="",0,IF(3&lt;N(INDEX(segments_table,2,2)),0,IF(3=N(INDEX(segments_table,2,2)),N(INDEX(segments_table,2,3)),E79*(1+N(INDEX(segments_table,2,3+(3-N(INDEX(segments_table,2,2)))))))))</f>
        <v>0</v>
      </c>
      <c r="G79" s="44" t="n">
        <f aca="false">IF(INDEX(segments_table,2,1)="",0,IF(4&lt;N(INDEX(segments_table,2,2)),0,IF(4=N(INDEX(segments_table,2,2)),N(INDEX(segments_table,2,3)),F79*(1+N(INDEX(segments_table,2,3+(4-N(INDEX(segments_table,2,2)))))))))</f>
        <v>0</v>
      </c>
      <c r="H79" s="44" t="n">
        <f aca="false">IF(INDEX(segments_table,2,1)="",0,IF(5&lt;N(INDEX(segments_table,2,2)),0,IF(5=N(INDEX(segments_table,2,2)),N(INDEX(segments_table,2,3)),G79*(1+N(INDEX(segments_table,2,3+(5-N(INDEX(segments_table,2,2)))))))))</f>
        <v>0</v>
      </c>
    </row>
    <row r="80" customFormat="false" ht="15" hidden="false" customHeight="false" outlineLevel="0" collapsed="false">
      <c r="A80" s="4" t="str">
        <f aca="false">IF(INDEX(segments_table,2,1)="","","COGS — "&amp;INDEX(segments_table,2,1))</f>
        <v/>
      </c>
      <c r="C80" s="44"/>
      <c r="D80" s="44" t="str">
        <f aca="false">IF(INDEX(segments_table,2,1)="","",-D79*(1-N(INDEX(segments_table,2,MIN(9+(1-N(INDEX(segments_table,2,2))),13)))))</f>
        <v/>
      </c>
      <c r="E80" s="44" t="str">
        <f aca="false">IF(INDEX(segments_table,2,1)="","",-E79*(1-N(INDEX(segments_table,2,MIN(9+(2-N(INDEX(segments_table,2,2))),13)))))</f>
        <v/>
      </c>
      <c r="F80" s="44" t="str">
        <f aca="false">IF(INDEX(segments_table,2,1)="","",-F79*(1-N(INDEX(segments_table,2,MIN(9+(3-N(INDEX(segments_table,2,2))),13)))))</f>
        <v/>
      </c>
      <c r="G80" s="44" t="str">
        <f aca="false">IF(INDEX(segments_table,2,1)="","",-G79*(1-N(INDEX(segments_table,2,MIN(9+(4-N(INDEX(segments_table,2,2))),13)))))</f>
        <v/>
      </c>
      <c r="H80" s="44" t="str">
        <f aca="false">IF(INDEX(segments_table,2,1)="","",-H79*(1-N(INDEX(segments_table,2,MIN(9+(5-N(INDEX(segments_table,2,2))),13)))))</f>
        <v/>
      </c>
    </row>
    <row r="81" customFormat="false" ht="15" hidden="false" customHeight="false" outlineLevel="0" collapsed="false">
      <c r="A81" s="4" t="str">
        <f aca="false">IF(INDEX(segments_table,2,1)="","",IF(COUNT(INDEX(segments_table,2,14):INDEX(segments_table,2,18))&gt;0,"Direct expenses — "&amp;INDEX(segments_table,2,1),"Direct expenses (allocated) — "&amp;INDEX(segments_table,2,1)))</f>
        <v/>
      </c>
      <c r="C81" s="44"/>
      <c r="D81" s="44" t="str">
        <f aca="false">IF(INDEX(segments_table,2,1)="","",IF(COUNT(INDEX(segments_table,2,14):INDEX(segments_table,2,18))&gt;0,-D79*N(INDEX(segments_table,2,MIN(14+(1-N(INDEX(segments_table,2,2))),18))),-D79*opex_pct_revenue_y1))</f>
        <v/>
      </c>
      <c r="E81" s="44" t="str">
        <f aca="false">IF(INDEX(segments_table,2,1)="","",IF(COUNT(INDEX(segments_table,2,14):INDEX(segments_table,2,18))&gt;0,-E79*N(INDEX(segments_table,2,MIN(14+(2-N(INDEX(segments_table,2,2))),18))),-E79*opex_pct_revenue_y2))</f>
        <v/>
      </c>
      <c r="F81" s="44" t="str">
        <f aca="false">IF(INDEX(segments_table,2,1)="","",IF(COUNT(INDEX(segments_table,2,14):INDEX(segments_table,2,18))&gt;0,-F79*N(INDEX(segments_table,2,MIN(14+(3-N(INDEX(segments_table,2,2))),18))),-F79*opex_pct_revenue_y3))</f>
        <v/>
      </c>
      <c r="G81" s="44" t="str">
        <f aca="false">IF(INDEX(segments_table,2,1)="","",IF(COUNT(INDEX(segments_table,2,14):INDEX(segments_table,2,18))&gt;0,-G79*N(INDEX(segments_table,2,MIN(14+(4-N(INDEX(segments_table,2,2))),18))),-G79*opex_pct_revenue_y4))</f>
        <v/>
      </c>
      <c r="H81" s="44" t="str">
        <f aca="false">IF(INDEX(segments_table,2,1)="","",IF(COUNT(INDEX(segments_table,2,14):INDEX(segments_table,2,18))&gt;0,-H79*N(INDEX(segments_table,2,MIN(14+(5-N(INDEX(segments_table,2,2))),18))),-H79*opex_pct_revenue_y5))</f>
        <v/>
      </c>
    </row>
    <row r="83" customFormat="false" ht="15" hidden="false" customHeight="false" outlineLevel="0" collapsed="false">
      <c r="A83" s="4" t="str">
        <f aca="false">IF(INDEX(segments_table,3,1)="","(segment slot 3 — unused)","Revenue — "&amp;INDEX(segments_table,3,1))</f>
        <v>(segment slot 3 — unused)</v>
      </c>
      <c r="C83" s="44" t="n">
        <f aca="false">IF(INDEX(segments_table,3,1)="",0,IF(N(INDEX(segments_table,3,2))=0,N(INDEX(segments_table,3,3)),0))</f>
        <v>0</v>
      </c>
      <c r="D83" s="44" t="n">
        <f aca="false">IF(INDEX(segments_table,3,1)="",0,IF(1&lt;N(INDEX(segments_table,3,2)),0,IF(1=N(INDEX(segments_table,3,2)),N(INDEX(segments_table,3,3)),C83*(1+N(INDEX(segments_table,3,3+(1-N(INDEX(segments_table,3,2)))))))))</f>
        <v>0</v>
      </c>
      <c r="E83" s="44" t="n">
        <f aca="false">IF(INDEX(segments_table,3,1)="",0,IF(2&lt;N(INDEX(segments_table,3,2)),0,IF(2=N(INDEX(segments_table,3,2)),N(INDEX(segments_table,3,3)),D83*(1+N(INDEX(segments_table,3,3+(2-N(INDEX(segments_table,3,2)))))))))</f>
        <v>0</v>
      </c>
      <c r="F83" s="44" t="n">
        <f aca="false">IF(INDEX(segments_table,3,1)="",0,IF(3&lt;N(INDEX(segments_table,3,2)),0,IF(3=N(INDEX(segments_table,3,2)),N(INDEX(segments_table,3,3)),E83*(1+N(INDEX(segments_table,3,3+(3-N(INDEX(segments_table,3,2)))))))))</f>
        <v>0</v>
      </c>
      <c r="G83" s="44" t="n">
        <f aca="false">IF(INDEX(segments_table,3,1)="",0,IF(4&lt;N(INDEX(segments_table,3,2)),0,IF(4=N(INDEX(segments_table,3,2)),N(INDEX(segments_table,3,3)),F83*(1+N(INDEX(segments_table,3,3+(4-N(INDEX(segments_table,3,2)))))))))</f>
        <v>0</v>
      </c>
      <c r="H83" s="44" t="n">
        <f aca="false">IF(INDEX(segments_table,3,1)="",0,IF(5&lt;N(INDEX(segments_table,3,2)),0,IF(5=N(INDEX(segments_table,3,2)),N(INDEX(segments_table,3,3)),G83*(1+N(INDEX(segments_table,3,3+(5-N(INDEX(segments_table,3,2)))))))))</f>
        <v>0</v>
      </c>
    </row>
    <row r="84" customFormat="false" ht="15" hidden="false" customHeight="false" outlineLevel="0" collapsed="false">
      <c r="A84" s="4" t="str">
        <f aca="false">IF(INDEX(segments_table,3,1)="","","COGS — "&amp;INDEX(segments_table,3,1))</f>
        <v/>
      </c>
      <c r="C84" s="44"/>
      <c r="D84" s="44" t="str">
        <f aca="false">IF(INDEX(segments_table,3,1)="","",-D83*(1-N(INDEX(segments_table,3,MIN(9+(1-N(INDEX(segments_table,3,2))),13)))))</f>
        <v/>
      </c>
      <c r="E84" s="44" t="str">
        <f aca="false">IF(INDEX(segments_table,3,1)="","",-E83*(1-N(INDEX(segments_table,3,MIN(9+(2-N(INDEX(segments_table,3,2))),13)))))</f>
        <v/>
      </c>
      <c r="F84" s="44" t="str">
        <f aca="false">IF(INDEX(segments_table,3,1)="","",-F83*(1-N(INDEX(segments_table,3,MIN(9+(3-N(INDEX(segments_table,3,2))),13)))))</f>
        <v/>
      </c>
      <c r="G84" s="44" t="str">
        <f aca="false">IF(INDEX(segments_table,3,1)="","",-G83*(1-N(INDEX(segments_table,3,MIN(9+(4-N(INDEX(segments_table,3,2))),13)))))</f>
        <v/>
      </c>
      <c r="H84" s="44" t="str">
        <f aca="false">IF(INDEX(segments_table,3,1)="","",-H83*(1-N(INDEX(segments_table,3,MIN(9+(5-N(INDEX(segments_table,3,2))),13)))))</f>
        <v/>
      </c>
    </row>
    <row r="85" customFormat="false" ht="15" hidden="false" customHeight="false" outlineLevel="0" collapsed="false">
      <c r="A85" s="4" t="str">
        <f aca="false">IF(INDEX(segments_table,3,1)="","",IF(COUNT(INDEX(segments_table,3,14):INDEX(segments_table,3,18))&gt;0,"Direct expenses — "&amp;INDEX(segments_table,3,1),"Direct expenses (allocated) — "&amp;INDEX(segments_table,3,1)))</f>
        <v/>
      </c>
      <c r="C85" s="44"/>
      <c r="D85" s="44" t="str">
        <f aca="false">IF(INDEX(segments_table,3,1)="","",IF(COUNT(INDEX(segments_table,3,14):INDEX(segments_table,3,18))&gt;0,-D83*N(INDEX(segments_table,3,MIN(14+(1-N(INDEX(segments_table,3,2))),18))),-D83*opex_pct_revenue_y1))</f>
        <v/>
      </c>
      <c r="E85" s="44" t="str">
        <f aca="false">IF(INDEX(segments_table,3,1)="","",IF(COUNT(INDEX(segments_table,3,14):INDEX(segments_table,3,18))&gt;0,-E83*N(INDEX(segments_table,3,MIN(14+(2-N(INDEX(segments_table,3,2))),18))),-E83*opex_pct_revenue_y2))</f>
        <v/>
      </c>
      <c r="F85" s="44" t="str">
        <f aca="false">IF(INDEX(segments_table,3,1)="","",IF(COUNT(INDEX(segments_table,3,14):INDEX(segments_table,3,18))&gt;0,-F83*N(INDEX(segments_table,3,MIN(14+(3-N(INDEX(segments_table,3,2))),18))),-F83*opex_pct_revenue_y3))</f>
        <v/>
      </c>
      <c r="G85" s="44" t="str">
        <f aca="false">IF(INDEX(segments_table,3,1)="","",IF(COUNT(INDEX(segments_table,3,14):INDEX(segments_table,3,18))&gt;0,-G83*N(INDEX(segments_table,3,MIN(14+(4-N(INDEX(segments_table,3,2))),18))),-G83*opex_pct_revenue_y4))</f>
        <v/>
      </c>
      <c r="H85" s="44" t="str">
        <f aca="false">IF(INDEX(segments_table,3,1)="","",IF(COUNT(INDEX(segments_table,3,14):INDEX(segments_table,3,18))&gt;0,-H83*N(INDEX(segments_table,3,MIN(14+(5-N(INDEX(segments_table,3,2))),18))),-H83*opex_pct_revenue_y5))</f>
        <v/>
      </c>
    </row>
    <row r="87" customFormat="false" ht="15" hidden="false" customHeight="false" outlineLevel="0" collapsed="false">
      <c r="A87" s="4" t="str">
        <f aca="false">IF(INDEX(segments_table,4,1)="","(segment slot 4 — unused)","Revenue — "&amp;INDEX(segments_table,4,1))</f>
        <v>(segment slot 4 — unused)</v>
      </c>
      <c r="C87" s="44" t="n">
        <f aca="false">IF(INDEX(segments_table,4,1)="",0,IF(N(INDEX(segments_table,4,2))=0,N(INDEX(segments_table,4,3)),0))</f>
        <v>0</v>
      </c>
      <c r="D87" s="44" t="n">
        <f aca="false">IF(INDEX(segments_table,4,1)="",0,IF(1&lt;N(INDEX(segments_table,4,2)),0,IF(1=N(INDEX(segments_table,4,2)),N(INDEX(segments_table,4,3)),C87*(1+N(INDEX(segments_table,4,3+(1-N(INDEX(segments_table,4,2)))))))))</f>
        <v>0</v>
      </c>
      <c r="E87" s="44" t="n">
        <f aca="false">IF(INDEX(segments_table,4,1)="",0,IF(2&lt;N(INDEX(segments_table,4,2)),0,IF(2=N(INDEX(segments_table,4,2)),N(INDEX(segments_table,4,3)),D87*(1+N(INDEX(segments_table,4,3+(2-N(INDEX(segments_table,4,2)))))))))</f>
        <v>0</v>
      </c>
      <c r="F87" s="44" t="n">
        <f aca="false">IF(INDEX(segments_table,4,1)="",0,IF(3&lt;N(INDEX(segments_table,4,2)),0,IF(3=N(INDEX(segments_table,4,2)),N(INDEX(segments_table,4,3)),E87*(1+N(INDEX(segments_table,4,3+(3-N(INDEX(segments_table,4,2)))))))))</f>
        <v>0</v>
      </c>
      <c r="G87" s="44" t="n">
        <f aca="false">IF(INDEX(segments_table,4,1)="",0,IF(4&lt;N(INDEX(segments_table,4,2)),0,IF(4=N(INDEX(segments_table,4,2)),N(INDEX(segments_table,4,3)),F87*(1+N(INDEX(segments_table,4,3+(4-N(INDEX(segments_table,4,2)))))))))</f>
        <v>0</v>
      </c>
      <c r="H87" s="44" t="n">
        <f aca="false">IF(INDEX(segments_table,4,1)="",0,IF(5&lt;N(INDEX(segments_table,4,2)),0,IF(5=N(INDEX(segments_table,4,2)),N(INDEX(segments_table,4,3)),G87*(1+N(INDEX(segments_table,4,3+(5-N(INDEX(segments_table,4,2)))))))))</f>
        <v>0</v>
      </c>
    </row>
    <row r="88" customFormat="false" ht="15" hidden="false" customHeight="false" outlineLevel="0" collapsed="false">
      <c r="A88" s="4" t="str">
        <f aca="false">IF(INDEX(segments_table,4,1)="","","COGS — "&amp;INDEX(segments_table,4,1))</f>
        <v/>
      </c>
      <c r="C88" s="44"/>
      <c r="D88" s="44" t="str">
        <f aca="false">IF(INDEX(segments_table,4,1)="","",-D87*(1-N(INDEX(segments_table,4,MIN(9+(1-N(INDEX(segments_table,4,2))),13)))))</f>
        <v/>
      </c>
      <c r="E88" s="44" t="str">
        <f aca="false">IF(INDEX(segments_table,4,1)="","",-E87*(1-N(INDEX(segments_table,4,MIN(9+(2-N(INDEX(segments_table,4,2))),13)))))</f>
        <v/>
      </c>
      <c r="F88" s="44" t="str">
        <f aca="false">IF(INDEX(segments_table,4,1)="","",-F87*(1-N(INDEX(segments_table,4,MIN(9+(3-N(INDEX(segments_table,4,2))),13)))))</f>
        <v/>
      </c>
      <c r="G88" s="44" t="str">
        <f aca="false">IF(INDEX(segments_table,4,1)="","",-G87*(1-N(INDEX(segments_table,4,MIN(9+(4-N(INDEX(segments_table,4,2))),13)))))</f>
        <v/>
      </c>
      <c r="H88" s="44" t="str">
        <f aca="false">IF(INDEX(segments_table,4,1)="","",-H87*(1-N(INDEX(segments_table,4,MIN(9+(5-N(INDEX(segments_table,4,2))),13)))))</f>
        <v/>
      </c>
    </row>
    <row r="89" customFormat="false" ht="15" hidden="false" customHeight="false" outlineLevel="0" collapsed="false">
      <c r="A89" s="4" t="str">
        <f aca="false">IF(INDEX(segments_table,4,1)="","",IF(COUNT(INDEX(segments_table,4,14):INDEX(segments_table,4,18))&gt;0,"Direct expenses — "&amp;INDEX(segments_table,4,1),"Direct expenses (allocated) — "&amp;INDEX(segments_table,4,1)))</f>
        <v/>
      </c>
      <c r="C89" s="44"/>
      <c r="D89" s="44" t="str">
        <f aca="false">IF(INDEX(segments_table,4,1)="","",IF(COUNT(INDEX(segments_table,4,14):INDEX(segments_table,4,18))&gt;0,-D87*N(INDEX(segments_table,4,MIN(14+(1-N(INDEX(segments_table,4,2))),18))),-D87*opex_pct_revenue_y1))</f>
        <v/>
      </c>
      <c r="E89" s="44" t="str">
        <f aca="false">IF(INDEX(segments_table,4,1)="","",IF(COUNT(INDEX(segments_table,4,14):INDEX(segments_table,4,18))&gt;0,-E87*N(INDEX(segments_table,4,MIN(14+(2-N(INDEX(segments_table,4,2))),18))),-E87*opex_pct_revenue_y2))</f>
        <v/>
      </c>
      <c r="F89" s="44" t="str">
        <f aca="false">IF(INDEX(segments_table,4,1)="","",IF(COUNT(INDEX(segments_table,4,14):INDEX(segments_table,4,18))&gt;0,-F87*N(INDEX(segments_table,4,MIN(14+(3-N(INDEX(segments_table,4,2))),18))),-F87*opex_pct_revenue_y3))</f>
        <v/>
      </c>
      <c r="G89" s="44" t="str">
        <f aca="false">IF(INDEX(segments_table,4,1)="","",IF(COUNT(INDEX(segments_table,4,14):INDEX(segments_table,4,18))&gt;0,-G87*N(INDEX(segments_table,4,MIN(14+(4-N(INDEX(segments_table,4,2))),18))),-G87*opex_pct_revenue_y4))</f>
        <v/>
      </c>
      <c r="H89" s="44" t="str">
        <f aca="false">IF(INDEX(segments_table,4,1)="","",IF(COUNT(INDEX(segments_table,4,14):INDEX(segments_table,4,18))&gt;0,-H87*N(INDEX(segments_table,4,MIN(14+(5-N(INDEX(segments_table,4,2))),18))),-H87*opex_pct_revenue_y5))</f>
        <v/>
      </c>
    </row>
    <row r="91" customFormat="false" ht="15" hidden="false" customHeight="false" outlineLevel="0" collapsed="false">
      <c r="A91" s="4" t="str">
        <f aca="false">IF(INDEX(segments_table,5,1)="","(segment slot 5 — unused)","Revenue — "&amp;INDEX(segments_table,5,1))</f>
        <v>(segment slot 5 — unused)</v>
      </c>
      <c r="C91" s="44" t="n">
        <f aca="false">IF(INDEX(segments_table,5,1)="",0,IF(N(INDEX(segments_table,5,2))=0,N(INDEX(segments_table,5,3)),0))</f>
        <v>0</v>
      </c>
      <c r="D91" s="44" t="n">
        <f aca="false">IF(INDEX(segments_table,5,1)="",0,IF(1&lt;N(INDEX(segments_table,5,2)),0,IF(1=N(INDEX(segments_table,5,2)),N(INDEX(segments_table,5,3)),C91*(1+N(INDEX(segments_table,5,3+(1-N(INDEX(segments_table,5,2)))))))))</f>
        <v>0</v>
      </c>
      <c r="E91" s="44" t="n">
        <f aca="false">IF(INDEX(segments_table,5,1)="",0,IF(2&lt;N(INDEX(segments_table,5,2)),0,IF(2=N(INDEX(segments_table,5,2)),N(INDEX(segments_table,5,3)),D91*(1+N(INDEX(segments_table,5,3+(2-N(INDEX(segments_table,5,2)))))))))</f>
        <v>0</v>
      </c>
      <c r="F91" s="44" t="n">
        <f aca="false">IF(INDEX(segments_table,5,1)="",0,IF(3&lt;N(INDEX(segments_table,5,2)),0,IF(3=N(INDEX(segments_table,5,2)),N(INDEX(segments_table,5,3)),E91*(1+N(INDEX(segments_table,5,3+(3-N(INDEX(segments_table,5,2)))))))))</f>
        <v>0</v>
      </c>
      <c r="G91" s="44" t="n">
        <f aca="false">IF(INDEX(segments_table,5,1)="",0,IF(4&lt;N(INDEX(segments_table,5,2)),0,IF(4=N(INDEX(segments_table,5,2)),N(INDEX(segments_table,5,3)),F91*(1+N(INDEX(segments_table,5,3+(4-N(INDEX(segments_table,5,2)))))))))</f>
        <v>0</v>
      </c>
      <c r="H91" s="44" t="n">
        <f aca="false">IF(INDEX(segments_table,5,1)="",0,IF(5&lt;N(INDEX(segments_table,5,2)),0,IF(5=N(INDEX(segments_table,5,2)),N(INDEX(segments_table,5,3)),G91*(1+N(INDEX(segments_table,5,3+(5-N(INDEX(segments_table,5,2)))))))))</f>
        <v>0</v>
      </c>
    </row>
    <row r="92" customFormat="false" ht="15" hidden="false" customHeight="false" outlineLevel="0" collapsed="false">
      <c r="A92" s="4" t="str">
        <f aca="false">IF(INDEX(segments_table,5,1)="","","COGS — "&amp;INDEX(segments_table,5,1))</f>
        <v/>
      </c>
      <c r="C92" s="44"/>
      <c r="D92" s="44" t="str">
        <f aca="false">IF(INDEX(segments_table,5,1)="","",-D91*(1-N(INDEX(segments_table,5,MIN(9+(1-N(INDEX(segments_table,5,2))),13)))))</f>
        <v/>
      </c>
      <c r="E92" s="44" t="str">
        <f aca="false">IF(INDEX(segments_table,5,1)="","",-E91*(1-N(INDEX(segments_table,5,MIN(9+(2-N(INDEX(segments_table,5,2))),13)))))</f>
        <v/>
      </c>
      <c r="F92" s="44" t="str">
        <f aca="false">IF(INDEX(segments_table,5,1)="","",-F91*(1-N(INDEX(segments_table,5,MIN(9+(3-N(INDEX(segments_table,5,2))),13)))))</f>
        <v/>
      </c>
      <c r="G92" s="44" t="str">
        <f aca="false">IF(INDEX(segments_table,5,1)="","",-G91*(1-N(INDEX(segments_table,5,MIN(9+(4-N(INDEX(segments_table,5,2))),13)))))</f>
        <v/>
      </c>
      <c r="H92" s="44" t="str">
        <f aca="false">IF(INDEX(segments_table,5,1)="","",-H91*(1-N(INDEX(segments_table,5,MIN(9+(5-N(INDEX(segments_table,5,2))),13)))))</f>
        <v/>
      </c>
    </row>
    <row r="93" customFormat="false" ht="15" hidden="false" customHeight="false" outlineLevel="0" collapsed="false">
      <c r="A93" s="4" t="str">
        <f aca="false">IF(INDEX(segments_table,5,1)="","",IF(COUNT(INDEX(segments_table,5,14):INDEX(segments_table,5,18))&gt;0,"Direct expenses — "&amp;INDEX(segments_table,5,1),"Direct expenses (allocated) — "&amp;INDEX(segments_table,5,1)))</f>
        <v/>
      </c>
      <c r="C93" s="44"/>
      <c r="D93" s="44" t="str">
        <f aca="false">IF(INDEX(segments_table,5,1)="","",IF(COUNT(INDEX(segments_table,5,14):INDEX(segments_table,5,18))&gt;0,-D91*N(INDEX(segments_table,5,MIN(14+(1-N(INDEX(segments_table,5,2))),18))),-D91*opex_pct_revenue_y1))</f>
        <v/>
      </c>
      <c r="E93" s="44" t="str">
        <f aca="false">IF(INDEX(segments_table,5,1)="","",IF(COUNT(INDEX(segments_table,5,14):INDEX(segments_table,5,18))&gt;0,-E91*N(INDEX(segments_table,5,MIN(14+(2-N(INDEX(segments_table,5,2))),18))),-E91*opex_pct_revenue_y2))</f>
        <v/>
      </c>
      <c r="F93" s="44" t="str">
        <f aca="false">IF(INDEX(segments_table,5,1)="","",IF(COUNT(INDEX(segments_table,5,14):INDEX(segments_table,5,18))&gt;0,-F91*N(INDEX(segments_table,5,MIN(14+(3-N(INDEX(segments_table,5,2))),18))),-F91*opex_pct_revenue_y3))</f>
        <v/>
      </c>
      <c r="G93" s="44" t="str">
        <f aca="false">IF(INDEX(segments_table,5,1)="","",IF(COUNT(INDEX(segments_table,5,14):INDEX(segments_table,5,18))&gt;0,-G91*N(INDEX(segments_table,5,MIN(14+(4-N(INDEX(segments_table,5,2))),18))),-G91*opex_pct_revenue_y4))</f>
        <v/>
      </c>
      <c r="H93" s="44" t="str">
        <f aca="false">IF(INDEX(segments_table,5,1)="","",IF(COUNT(INDEX(segments_table,5,14):INDEX(segments_table,5,18))&gt;0,-H91*N(INDEX(segments_table,5,MIN(14+(5-N(INDEX(segments_table,5,2))),18))),-H91*opex_pct_revenue_y5))</f>
        <v/>
      </c>
    </row>
    <row r="95" customFormat="false" ht="15" hidden="false" customHeight="false" outlineLevel="0" collapsed="false">
      <c r="A95" s="4" t="str">
        <f aca="false">IF(INDEX(segments_table,6,1)="","(segment slot 6 — unused)","Revenue — "&amp;INDEX(segments_table,6,1))</f>
        <v>(segment slot 6 — unused)</v>
      </c>
      <c r="C95" s="44" t="n">
        <f aca="false">IF(INDEX(segments_table,6,1)="",0,IF(N(INDEX(segments_table,6,2))=0,N(INDEX(segments_table,6,3)),0))</f>
        <v>0</v>
      </c>
      <c r="D95" s="44" t="n">
        <f aca="false">IF(INDEX(segments_table,6,1)="",0,IF(1&lt;N(INDEX(segments_table,6,2)),0,IF(1=N(INDEX(segments_table,6,2)),N(INDEX(segments_table,6,3)),C95*(1+N(INDEX(segments_table,6,3+(1-N(INDEX(segments_table,6,2)))))))))</f>
        <v>0</v>
      </c>
      <c r="E95" s="44" t="n">
        <f aca="false">IF(INDEX(segments_table,6,1)="",0,IF(2&lt;N(INDEX(segments_table,6,2)),0,IF(2=N(INDEX(segments_table,6,2)),N(INDEX(segments_table,6,3)),D95*(1+N(INDEX(segments_table,6,3+(2-N(INDEX(segments_table,6,2)))))))))</f>
        <v>0</v>
      </c>
      <c r="F95" s="44" t="n">
        <f aca="false">IF(INDEX(segments_table,6,1)="",0,IF(3&lt;N(INDEX(segments_table,6,2)),0,IF(3=N(INDEX(segments_table,6,2)),N(INDEX(segments_table,6,3)),E95*(1+N(INDEX(segments_table,6,3+(3-N(INDEX(segments_table,6,2)))))))))</f>
        <v>0</v>
      </c>
      <c r="G95" s="44" t="n">
        <f aca="false">IF(INDEX(segments_table,6,1)="",0,IF(4&lt;N(INDEX(segments_table,6,2)),0,IF(4=N(INDEX(segments_table,6,2)),N(INDEX(segments_table,6,3)),F95*(1+N(INDEX(segments_table,6,3+(4-N(INDEX(segments_table,6,2)))))))))</f>
        <v>0</v>
      </c>
      <c r="H95" s="44" t="n">
        <f aca="false">IF(INDEX(segments_table,6,1)="",0,IF(5&lt;N(INDEX(segments_table,6,2)),0,IF(5=N(INDEX(segments_table,6,2)),N(INDEX(segments_table,6,3)),G95*(1+N(INDEX(segments_table,6,3+(5-N(INDEX(segments_table,6,2)))))))))</f>
        <v>0</v>
      </c>
    </row>
    <row r="96" customFormat="false" ht="15" hidden="false" customHeight="false" outlineLevel="0" collapsed="false">
      <c r="A96" s="4" t="str">
        <f aca="false">IF(INDEX(segments_table,6,1)="","","COGS — "&amp;INDEX(segments_table,6,1))</f>
        <v/>
      </c>
      <c r="C96" s="44"/>
      <c r="D96" s="44" t="str">
        <f aca="false">IF(INDEX(segments_table,6,1)="","",-D95*(1-N(INDEX(segments_table,6,MIN(9+(1-N(INDEX(segments_table,6,2))),13)))))</f>
        <v/>
      </c>
      <c r="E96" s="44" t="str">
        <f aca="false">IF(INDEX(segments_table,6,1)="","",-E95*(1-N(INDEX(segments_table,6,MIN(9+(2-N(INDEX(segments_table,6,2))),13)))))</f>
        <v/>
      </c>
      <c r="F96" s="44" t="str">
        <f aca="false">IF(INDEX(segments_table,6,1)="","",-F95*(1-N(INDEX(segments_table,6,MIN(9+(3-N(INDEX(segments_table,6,2))),13)))))</f>
        <v/>
      </c>
      <c r="G96" s="44" t="str">
        <f aca="false">IF(INDEX(segments_table,6,1)="","",-G95*(1-N(INDEX(segments_table,6,MIN(9+(4-N(INDEX(segments_table,6,2))),13)))))</f>
        <v/>
      </c>
      <c r="H96" s="44" t="str">
        <f aca="false">IF(INDEX(segments_table,6,1)="","",-H95*(1-N(INDEX(segments_table,6,MIN(9+(5-N(INDEX(segments_table,6,2))),13)))))</f>
        <v/>
      </c>
    </row>
    <row r="97" customFormat="false" ht="15" hidden="false" customHeight="false" outlineLevel="0" collapsed="false">
      <c r="A97" s="4" t="str">
        <f aca="false">IF(INDEX(segments_table,6,1)="","",IF(COUNT(INDEX(segments_table,6,14):INDEX(segments_table,6,18))&gt;0,"Direct expenses — "&amp;INDEX(segments_table,6,1),"Direct expenses (allocated) — "&amp;INDEX(segments_table,6,1)))</f>
        <v/>
      </c>
      <c r="C97" s="44"/>
      <c r="D97" s="44" t="str">
        <f aca="false">IF(INDEX(segments_table,6,1)="","",IF(COUNT(INDEX(segments_table,6,14):INDEX(segments_table,6,18))&gt;0,-D95*N(INDEX(segments_table,6,MIN(14+(1-N(INDEX(segments_table,6,2))),18))),-D95*opex_pct_revenue_y1))</f>
        <v/>
      </c>
      <c r="E97" s="44" t="str">
        <f aca="false">IF(INDEX(segments_table,6,1)="","",IF(COUNT(INDEX(segments_table,6,14):INDEX(segments_table,6,18))&gt;0,-E95*N(INDEX(segments_table,6,MIN(14+(2-N(INDEX(segments_table,6,2))),18))),-E95*opex_pct_revenue_y2))</f>
        <v/>
      </c>
      <c r="F97" s="44" t="str">
        <f aca="false">IF(INDEX(segments_table,6,1)="","",IF(COUNT(INDEX(segments_table,6,14):INDEX(segments_table,6,18))&gt;0,-F95*N(INDEX(segments_table,6,MIN(14+(3-N(INDEX(segments_table,6,2))),18))),-F95*opex_pct_revenue_y3))</f>
        <v/>
      </c>
      <c r="G97" s="44" t="str">
        <f aca="false">IF(INDEX(segments_table,6,1)="","",IF(COUNT(INDEX(segments_table,6,14):INDEX(segments_table,6,18))&gt;0,-G95*N(INDEX(segments_table,6,MIN(14+(4-N(INDEX(segments_table,6,2))),18))),-G95*opex_pct_revenue_y4))</f>
        <v/>
      </c>
      <c r="H97" s="44" t="str">
        <f aca="false">IF(INDEX(segments_table,6,1)="","",IF(COUNT(INDEX(segments_table,6,14):INDEX(segments_table,6,18))&gt;0,-H95*N(INDEX(segments_table,6,MIN(14+(5-N(INDEX(segments_table,6,2))),18))),-H95*opex_pct_revenue_y5))</f>
        <v/>
      </c>
    </row>
    <row r="99" customFormat="false" ht="15" hidden="false" customHeight="false" outlineLevel="0" collapsed="false">
      <c r="A99" s="4" t="str">
        <f aca="false">IF(INDEX(segments_table,7,1)="","(segment slot 7 — unused)","Revenue — "&amp;INDEX(segments_table,7,1))</f>
        <v>(segment slot 7 — unused)</v>
      </c>
      <c r="C99" s="44" t="n">
        <f aca="false">IF(INDEX(segments_table,7,1)="",0,IF(N(INDEX(segments_table,7,2))=0,N(INDEX(segments_table,7,3)),0))</f>
        <v>0</v>
      </c>
      <c r="D99" s="44" t="n">
        <f aca="false">IF(INDEX(segments_table,7,1)="",0,IF(1&lt;N(INDEX(segments_table,7,2)),0,IF(1=N(INDEX(segments_table,7,2)),N(INDEX(segments_table,7,3)),C99*(1+N(INDEX(segments_table,7,3+(1-N(INDEX(segments_table,7,2)))))))))</f>
        <v>0</v>
      </c>
      <c r="E99" s="44" t="n">
        <f aca="false">IF(INDEX(segments_table,7,1)="",0,IF(2&lt;N(INDEX(segments_table,7,2)),0,IF(2=N(INDEX(segments_table,7,2)),N(INDEX(segments_table,7,3)),D99*(1+N(INDEX(segments_table,7,3+(2-N(INDEX(segments_table,7,2)))))))))</f>
        <v>0</v>
      </c>
      <c r="F99" s="44" t="n">
        <f aca="false">IF(INDEX(segments_table,7,1)="",0,IF(3&lt;N(INDEX(segments_table,7,2)),0,IF(3=N(INDEX(segments_table,7,2)),N(INDEX(segments_table,7,3)),E99*(1+N(INDEX(segments_table,7,3+(3-N(INDEX(segments_table,7,2)))))))))</f>
        <v>0</v>
      </c>
      <c r="G99" s="44" t="n">
        <f aca="false">IF(INDEX(segments_table,7,1)="",0,IF(4&lt;N(INDEX(segments_table,7,2)),0,IF(4=N(INDEX(segments_table,7,2)),N(INDEX(segments_table,7,3)),F99*(1+N(INDEX(segments_table,7,3+(4-N(INDEX(segments_table,7,2)))))))))</f>
        <v>0</v>
      </c>
      <c r="H99" s="44" t="n">
        <f aca="false">IF(INDEX(segments_table,7,1)="",0,IF(5&lt;N(INDEX(segments_table,7,2)),0,IF(5=N(INDEX(segments_table,7,2)),N(INDEX(segments_table,7,3)),G99*(1+N(INDEX(segments_table,7,3+(5-N(INDEX(segments_table,7,2)))))))))</f>
        <v>0</v>
      </c>
    </row>
    <row r="100" customFormat="false" ht="15" hidden="false" customHeight="false" outlineLevel="0" collapsed="false">
      <c r="A100" s="4" t="str">
        <f aca="false">IF(INDEX(segments_table,7,1)="","","COGS — "&amp;INDEX(segments_table,7,1))</f>
        <v/>
      </c>
      <c r="C100" s="44"/>
      <c r="D100" s="44" t="str">
        <f aca="false">IF(INDEX(segments_table,7,1)="","",-D99*(1-N(INDEX(segments_table,7,MIN(9+(1-N(INDEX(segments_table,7,2))),13)))))</f>
        <v/>
      </c>
      <c r="E100" s="44" t="str">
        <f aca="false">IF(INDEX(segments_table,7,1)="","",-E99*(1-N(INDEX(segments_table,7,MIN(9+(2-N(INDEX(segments_table,7,2))),13)))))</f>
        <v/>
      </c>
      <c r="F100" s="44" t="str">
        <f aca="false">IF(INDEX(segments_table,7,1)="","",-F99*(1-N(INDEX(segments_table,7,MIN(9+(3-N(INDEX(segments_table,7,2))),13)))))</f>
        <v/>
      </c>
      <c r="G100" s="44" t="str">
        <f aca="false">IF(INDEX(segments_table,7,1)="","",-G99*(1-N(INDEX(segments_table,7,MIN(9+(4-N(INDEX(segments_table,7,2))),13)))))</f>
        <v/>
      </c>
      <c r="H100" s="44" t="str">
        <f aca="false">IF(INDEX(segments_table,7,1)="","",-H99*(1-N(INDEX(segments_table,7,MIN(9+(5-N(INDEX(segments_table,7,2))),13)))))</f>
        <v/>
      </c>
    </row>
    <row r="101" customFormat="false" ht="15" hidden="false" customHeight="false" outlineLevel="0" collapsed="false">
      <c r="A101" s="4" t="str">
        <f aca="false">IF(INDEX(segments_table,7,1)="","",IF(COUNT(INDEX(segments_table,7,14):INDEX(segments_table,7,18))&gt;0,"Direct expenses — "&amp;INDEX(segments_table,7,1),"Direct expenses (allocated) — "&amp;INDEX(segments_table,7,1)))</f>
        <v/>
      </c>
      <c r="C101" s="44"/>
      <c r="D101" s="44" t="str">
        <f aca="false">IF(INDEX(segments_table,7,1)="","",IF(COUNT(INDEX(segments_table,7,14):INDEX(segments_table,7,18))&gt;0,-D99*N(INDEX(segments_table,7,MIN(14+(1-N(INDEX(segments_table,7,2))),18))),-D99*opex_pct_revenue_y1))</f>
        <v/>
      </c>
      <c r="E101" s="44" t="str">
        <f aca="false">IF(INDEX(segments_table,7,1)="","",IF(COUNT(INDEX(segments_table,7,14):INDEX(segments_table,7,18))&gt;0,-E99*N(INDEX(segments_table,7,MIN(14+(2-N(INDEX(segments_table,7,2))),18))),-E99*opex_pct_revenue_y2))</f>
        <v/>
      </c>
      <c r="F101" s="44" t="str">
        <f aca="false">IF(INDEX(segments_table,7,1)="","",IF(COUNT(INDEX(segments_table,7,14):INDEX(segments_table,7,18))&gt;0,-F99*N(INDEX(segments_table,7,MIN(14+(3-N(INDEX(segments_table,7,2))),18))),-F99*opex_pct_revenue_y3))</f>
        <v/>
      </c>
      <c r="G101" s="44" t="str">
        <f aca="false">IF(INDEX(segments_table,7,1)="","",IF(COUNT(INDEX(segments_table,7,14):INDEX(segments_table,7,18))&gt;0,-G99*N(INDEX(segments_table,7,MIN(14+(4-N(INDEX(segments_table,7,2))),18))),-G99*opex_pct_revenue_y4))</f>
        <v/>
      </c>
      <c r="H101" s="44" t="str">
        <f aca="false">IF(INDEX(segments_table,7,1)="","",IF(COUNT(INDEX(segments_table,7,14):INDEX(segments_table,7,18))&gt;0,-H99*N(INDEX(segments_table,7,MIN(14+(5-N(INDEX(segments_table,7,2))),18))),-H99*opex_pct_revenue_y5))</f>
        <v/>
      </c>
    </row>
    <row r="103" customFormat="false" ht="15" hidden="false" customHeight="false" outlineLevel="0" collapsed="false">
      <c r="A103" s="4" t="str">
        <f aca="false">IF(INDEX(segments_table,8,1)="","(segment slot 8 — unused)","Revenue — "&amp;INDEX(segments_table,8,1))</f>
        <v>(segment slot 8 — unused)</v>
      </c>
      <c r="C103" s="44" t="n">
        <f aca="false">IF(INDEX(segments_table,8,1)="",0,IF(N(INDEX(segments_table,8,2))=0,N(INDEX(segments_table,8,3)),0))</f>
        <v>0</v>
      </c>
      <c r="D103" s="44" t="n">
        <f aca="false">IF(INDEX(segments_table,8,1)="",0,IF(1&lt;N(INDEX(segments_table,8,2)),0,IF(1=N(INDEX(segments_table,8,2)),N(INDEX(segments_table,8,3)),C103*(1+N(INDEX(segments_table,8,3+(1-N(INDEX(segments_table,8,2)))))))))</f>
        <v>0</v>
      </c>
      <c r="E103" s="44" t="n">
        <f aca="false">IF(INDEX(segments_table,8,1)="",0,IF(2&lt;N(INDEX(segments_table,8,2)),0,IF(2=N(INDEX(segments_table,8,2)),N(INDEX(segments_table,8,3)),D103*(1+N(INDEX(segments_table,8,3+(2-N(INDEX(segments_table,8,2)))))))))</f>
        <v>0</v>
      </c>
      <c r="F103" s="44" t="n">
        <f aca="false">IF(INDEX(segments_table,8,1)="",0,IF(3&lt;N(INDEX(segments_table,8,2)),0,IF(3=N(INDEX(segments_table,8,2)),N(INDEX(segments_table,8,3)),E103*(1+N(INDEX(segments_table,8,3+(3-N(INDEX(segments_table,8,2)))))))))</f>
        <v>0</v>
      </c>
      <c r="G103" s="44" t="n">
        <f aca="false">IF(INDEX(segments_table,8,1)="",0,IF(4&lt;N(INDEX(segments_table,8,2)),0,IF(4=N(INDEX(segments_table,8,2)),N(INDEX(segments_table,8,3)),F103*(1+N(INDEX(segments_table,8,3+(4-N(INDEX(segments_table,8,2)))))))))</f>
        <v>0</v>
      </c>
      <c r="H103" s="44" t="n">
        <f aca="false">IF(INDEX(segments_table,8,1)="",0,IF(5&lt;N(INDEX(segments_table,8,2)),0,IF(5=N(INDEX(segments_table,8,2)),N(INDEX(segments_table,8,3)),G103*(1+N(INDEX(segments_table,8,3+(5-N(INDEX(segments_table,8,2)))))))))</f>
        <v>0</v>
      </c>
    </row>
    <row r="104" customFormat="false" ht="15" hidden="false" customHeight="false" outlineLevel="0" collapsed="false">
      <c r="A104" s="4" t="str">
        <f aca="false">IF(INDEX(segments_table,8,1)="","","COGS — "&amp;INDEX(segments_table,8,1))</f>
        <v/>
      </c>
      <c r="C104" s="44"/>
      <c r="D104" s="44" t="str">
        <f aca="false">IF(INDEX(segments_table,8,1)="","",-D103*(1-N(INDEX(segments_table,8,MIN(9+(1-N(INDEX(segments_table,8,2))),13)))))</f>
        <v/>
      </c>
      <c r="E104" s="44" t="str">
        <f aca="false">IF(INDEX(segments_table,8,1)="","",-E103*(1-N(INDEX(segments_table,8,MIN(9+(2-N(INDEX(segments_table,8,2))),13)))))</f>
        <v/>
      </c>
      <c r="F104" s="44" t="str">
        <f aca="false">IF(INDEX(segments_table,8,1)="","",-F103*(1-N(INDEX(segments_table,8,MIN(9+(3-N(INDEX(segments_table,8,2))),13)))))</f>
        <v/>
      </c>
      <c r="G104" s="44" t="str">
        <f aca="false">IF(INDEX(segments_table,8,1)="","",-G103*(1-N(INDEX(segments_table,8,MIN(9+(4-N(INDEX(segments_table,8,2))),13)))))</f>
        <v/>
      </c>
      <c r="H104" s="44" t="str">
        <f aca="false">IF(INDEX(segments_table,8,1)="","",-H103*(1-N(INDEX(segments_table,8,MIN(9+(5-N(INDEX(segments_table,8,2))),13)))))</f>
        <v/>
      </c>
    </row>
    <row r="105" customFormat="false" ht="15" hidden="false" customHeight="false" outlineLevel="0" collapsed="false">
      <c r="A105" s="4" t="str">
        <f aca="false">IF(INDEX(segments_table,8,1)="","",IF(COUNT(INDEX(segments_table,8,14):INDEX(segments_table,8,18))&gt;0,"Direct expenses — "&amp;INDEX(segments_table,8,1),"Direct expenses (allocated) — "&amp;INDEX(segments_table,8,1)))</f>
        <v/>
      </c>
      <c r="C105" s="44"/>
      <c r="D105" s="44" t="str">
        <f aca="false">IF(INDEX(segments_table,8,1)="","",IF(COUNT(INDEX(segments_table,8,14):INDEX(segments_table,8,18))&gt;0,-D103*N(INDEX(segments_table,8,MIN(14+(1-N(INDEX(segments_table,8,2))),18))),-D103*opex_pct_revenue_y1))</f>
        <v/>
      </c>
      <c r="E105" s="44" t="str">
        <f aca="false">IF(INDEX(segments_table,8,1)="","",IF(COUNT(INDEX(segments_table,8,14):INDEX(segments_table,8,18))&gt;0,-E103*N(INDEX(segments_table,8,MIN(14+(2-N(INDEX(segments_table,8,2))),18))),-E103*opex_pct_revenue_y2))</f>
        <v/>
      </c>
      <c r="F105" s="44" t="str">
        <f aca="false">IF(INDEX(segments_table,8,1)="","",IF(COUNT(INDEX(segments_table,8,14):INDEX(segments_table,8,18))&gt;0,-F103*N(INDEX(segments_table,8,MIN(14+(3-N(INDEX(segments_table,8,2))),18))),-F103*opex_pct_revenue_y3))</f>
        <v/>
      </c>
      <c r="G105" s="44" t="str">
        <f aca="false">IF(INDEX(segments_table,8,1)="","",IF(COUNT(INDEX(segments_table,8,14):INDEX(segments_table,8,18))&gt;0,-G103*N(INDEX(segments_table,8,MIN(14+(4-N(INDEX(segments_table,8,2))),18))),-G103*opex_pct_revenue_y4))</f>
        <v/>
      </c>
      <c r="H105" s="44" t="str">
        <f aca="false">IF(INDEX(segments_table,8,1)="","",IF(COUNT(INDEX(segments_table,8,14):INDEX(segments_table,8,18))&gt;0,-H103*N(INDEX(segments_table,8,MIN(14+(5-N(INDEX(segments_table,8,2))),18))),-H103*opex_pct_revenue_y5))</f>
        <v/>
      </c>
    </row>
    <row r="107" customFormat="false" ht="15" hidden="false" customHeight="false" outlineLevel="0" collapsed="false">
      <c r="A107" s="7" t="s">
        <v>619</v>
      </c>
      <c r="C107" s="0" t="n">
        <v>0</v>
      </c>
      <c r="D107" s="44" t="n">
        <f aca="false">IF(COUNT(INDEX(segments_table,1,14):INDEX(segments_table,1,18))&gt;0,D75,0)+IF(COUNT(INDEX(segments_table,2,14):INDEX(segments_table,2,18))&gt;0,D79,0)+IF(COUNT(INDEX(segments_table,3,14):INDEX(segments_table,3,18))&gt;0,D83,0)+IF(COUNT(INDEX(segments_table,4,14):INDEX(segments_table,4,18))&gt;0,D87,0)+IF(COUNT(INDEX(segments_table,5,14):INDEX(segments_table,5,18))&gt;0,D91,0)+IF(COUNT(INDEX(segments_table,6,14):INDEX(segments_table,6,18))&gt;0,D95,0)+IF(COUNT(INDEX(segments_table,7,14):INDEX(segments_table,7,18))&gt;0,D99,0)+IF(COUNT(INDEX(segments_table,8,14):INDEX(segments_table,8,18))&gt;0,D103,0)</f>
        <v>0</v>
      </c>
      <c r="E107" s="44" t="n">
        <f aca="false">IF(COUNT(INDEX(segments_table,1,14):INDEX(segments_table,1,18))&gt;0,E75,0)+IF(COUNT(INDEX(segments_table,2,14):INDEX(segments_table,2,18))&gt;0,E79,0)+IF(COUNT(INDEX(segments_table,3,14):INDEX(segments_table,3,18))&gt;0,E83,0)+IF(COUNT(INDEX(segments_table,4,14):INDEX(segments_table,4,18))&gt;0,E87,0)+IF(COUNT(INDEX(segments_table,5,14):INDEX(segments_table,5,18))&gt;0,E91,0)+IF(COUNT(INDEX(segments_table,6,14):INDEX(segments_table,6,18))&gt;0,E95,0)+IF(COUNT(INDEX(segments_table,7,14):INDEX(segments_table,7,18))&gt;0,E99,0)+IF(COUNT(INDEX(segments_table,8,14):INDEX(segments_table,8,18))&gt;0,E103,0)</f>
        <v>0</v>
      </c>
      <c r="F107" s="44" t="n">
        <f aca="false">IF(COUNT(INDEX(segments_table,1,14):INDEX(segments_table,1,18))&gt;0,F75,0)+IF(COUNT(INDEX(segments_table,2,14):INDEX(segments_table,2,18))&gt;0,F79,0)+IF(COUNT(INDEX(segments_table,3,14):INDEX(segments_table,3,18))&gt;0,F83,0)+IF(COUNT(INDEX(segments_table,4,14):INDEX(segments_table,4,18))&gt;0,F87,0)+IF(COUNT(INDEX(segments_table,5,14):INDEX(segments_table,5,18))&gt;0,F91,0)+IF(COUNT(INDEX(segments_table,6,14):INDEX(segments_table,6,18))&gt;0,F95,0)+IF(COUNT(INDEX(segments_table,7,14):INDEX(segments_table,7,18))&gt;0,F99,0)+IF(COUNT(INDEX(segments_table,8,14):INDEX(segments_table,8,18))&gt;0,F103,0)</f>
        <v>0</v>
      </c>
      <c r="G107" s="44" t="n">
        <f aca="false">IF(COUNT(INDEX(segments_table,1,14):INDEX(segments_table,1,18))&gt;0,G75,0)+IF(COUNT(INDEX(segments_table,2,14):INDEX(segments_table,2,18))&gt;0,G79,0)+IF(COUNT(INDEX(segments_table,3,14):INDEX(segments_table,3,18))&gt;0,G83,0)+IF(COUNT(INDEX(segments_table,4,14):INDEX(segments_table,4,18))&gt;0,G87,0)+IF(COUNT(INDEX(segments_table,5,14):INDEX(segments_table,5,18))&gt;0,G91,0)+IF(COUNT(INDEX(segments_table,6,14):INDEX(segments_table,6,18))&gt;0,G95,0)+IF(COUNT(INDEX(segments_table,7,14):INDEX(segments_table,7,18))&gt;0,G99,0)+IF(COUNT(INDEX(segments_table,8,14):INDEX(segments_table,8,18))&gt;0,G103,0)</f>
        <v>0</v>
      </c>
      <c r="H107" s="44" t="n">
        <f aca="false">IF(COUNT(INDEX(segments_table,1,14):INDEX(segments_table,1,18))&gt;0,H75,0)+IF(COUNT(INDEX(segments_table,2,14):INDEX(segments_table,2,18))&gt;0,H79,0)+IF(COUNT(INDEX(segments_table,3,14):INDEX(segments_table,3,18))&gt;0,H83,0)+IF(COUNT(INDEX(segments_table,4,14):INDEX(segments_table,4,18))&gt;0,H87,0)+IF(COUNT(INDEX(segments_table,5,14):INDEX(segments_table,5,18))&gt;0,H91,0)+IF(COUNT(INDEX(segments_table,6,14):INDEX(segments_table,6,18))&gt;0,H95,0)+IF(COUNT(INDEX(segments_table,7,14):INDEX(segments_table,7,18))&gt;0,H99,0)+IF(COUNT(INDEX(segments_table,8,14):INDEX(segments_table,8,18))&gt;0,H103,0)</f>
        <v>0</v>
      </c>
    </row>
    <row r="108" customFormat="false" ht="15" hidden="false" customHeight="false" outlineLevel="0" collapsed="false">
      <c r="A108" s="7" t="s">
        <v>620</v>
      </c>
      <c r="C108" s="0" t="n">
        <v>0</v>
      </c>
      <c r="D108" s="44" t="n">
        <f aca="false">IF(COUNT(INDEX(segments_table,1,14):INDEX(segments_table,1,18))&gt;0,N(D77),0)+IF(COUNT(INDEX(segments_table,2,14):INDEX(segments_table,2,18))&gt;0,N(D81),0)+IF(COUNT(INDEX(segments_table,3,14):INDEX(segments_table,3,18))&gt;0,N(D85),0)+IF(COUNT(INDEX(segments_table,4,14):INDEX(segments_table,4,18))&gt;0,N(D89),0)+IF(COUNT(INDEX(segments_table,5,14):INDEX(segments_table,5,18))&gt;0,N(D93),0)+IF(COUNT(INDEX(segments_table,6,14):INDEX(segments_table,6,18))&gt;0,N(D97),0)+IF(COUNT(INDEX(segments_table,7,14):INDEX(segments_table,7,18))&gt;0,N(D101),0)+IF(COUNT(INDEX(segments_table,8,14):INDEX(segments_table,8,18))&gt;0,N(D105),0)</f>
        <v>0</v>
      </c>
      <c r="E108" s="44" t="n">
        <f aca="false">IF(COUNT(INDEX(segments_table,1,14):INDEX(segments_table,1,18))&gt;0,N(E77),0)+IF(COUNT(INDEX(segments_table,2,14):INDEX(segments_table,2,18))&gt;0,N(E81),0)+IF(COUNT(INDEX(segments_table,3,14):INDEX(segments_table,3,18))&gt;0,N(E85),0)+IF(COUNT(INDEX(segments_table,4,14):INDEX(segments_table,4,18))&gt;0,N(E89),0)+IF(COUNT(INDEX(segments_table,5,14):INDEX(segments_table,5,18))&gt;0,N(E93),0)+IF(COUNT(INDEX(segments_table,6,14):INDEX(segments_table,6,18))&gt;0,N(E97),0)+IF(COUNT(INDEX(segments_table,7,14):INDEX(segments_table,7,18))&gt;0,N(E101),0)+IF(COUNT(INDEX(segments_table,8,14):INDEX(segments_table,8,18))&gt;0,N(E105),0)</f>
        <v>0</v>
      </c>
      <c r="F108" s="44" t="n">
        <f aca="false">IF(COUNT(INDEX(segments_table,1,14):INDEX(segments_table,1,18))&gt;0,N(F77),0)+IF(COUNT(INDEX(segments_table,2,14):INDEX(segments_table,2,18))&gt;0,N(F81),0)+IF(COUNT(INDEX(segments_table,3,14):INDEX(segments_table,3,18))&gt;0,N(F85),0)+IF(COUNT(INDEX(segments_table,4,14):INDEX(segments_table,4,18))&gt;0,N(F89),0)+IF(COUNT(INDEX(segments_table,5,14):INDEX(segments_table,5,18))&gt;0,N(F93),0)+IF(COUNT(INDEX(segments_table,6,14):INDEX(segments_table,6,18))&gt;0,N(F97),0)+IF(COUNT(INDEX(segments_table,7,14):INDEX(segments_table,7,18))&gt;0,N(F101),0)+IF(COUNT(INDEX(segments_table,8,14):INDEX(segments_table,8,18))&gt;0,N(F105),0)</f>
        <v>0</v>
      </c>
      <c r="G108" s="44" t="n">
        <f aca="false">IF(COUNT(INDEX(segments_table,1,14):INDEX(segments_table,1,18))&gt;0,N(G77),0)+IF(COUNT(INDEX(segments_table,2,14):INDEX(segments_table,2,18))&gt;0,N(G81),0)+IF(COUNT(INDEX(segments_table,3,14):INDEX(segments_table,3,18))&gt;0,N(G85),0)+IF(COUNT(INDEX(segments_table,4,14):INDEX(segments_table,4,18))&gt;0,N(G89),0)+IF(COUNT(INDEX(segments_table,5,14):INDEX(segments_table,5,18))&gt;0,N(G93),0)+IF(COUNT(INDEX(segments_table,6,14):INDEX(segments_table,6,18))&gt;0,N(G97),0)+IF(COUNT(INDEX(segments_table,7,14):INDEX(segments_table,7,18))&gt;0,N(G101),0)+IF(COUNT(INDEX(segments_table,8,14):INDEX(segments_table,8,18))&gt;0,N(G105),0)</f>
        <v>0</v>
      </c>
      <c r="H108" s="44" t="n">
        <f aca="false">IF(COUNT(INDEX(segments_table,1,14):INDEX(segments_table,1,18))&gt;0,N(H77),0)+IF(COUNT(INDEX(segments_table,2,14):INDEX(segments_table,2,18))&gt;0,N(H81),0)+IF(COUNT(INDEX(segments_table,3,14):INDEX(segments_table,3,18))&gt;0,N(H85),0)+IF(COUNT(INDEX(segments_table,4,14):INDEX(segments_table,4,18))&gt;0,N(H89),0)+IF(COUNT(INDEX(segments_table,5,14):INDEX(segments_table,5,18))&gt;0,N(H93),0)+IF(COUNT(INDEX(segments_table,6,14):INDEX(segments_table,6,18))&gt;0,N(H97),0)+IF(COUNT(INDEX(segments_table,7,14):INDEX(segments_table,7,18))&gt;0,N(H101),0)+IF(COUNT(INDEX(segments_table,8,14):INDEX(segments_table,8,18))&gt;0,N(H105),0)</f>
        <v>0</v>
      </c>
    </row>
  </sheetData>
  <mergeCells count="10">
    <mergeCell ref="A1:H1"/>
    <mergeCell ref="A2:H2"/>
    <mergeCell ref="A6:H6"/>
    <mergeCell ref="A28:H28"/>
    <mergeCell ref="A46:H46"/>
    <mergeCell ref="A56:H56"/>
    <mergeCell ref="A60:H60"/>
    <mergeCell ref="A65:H65"/>
    <mergeCell ref="A73:H73"/>
    <mergeCell ref="A74:H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9" min="3" style="0" width="14"/>
  </cols>
  <sheetData>
    <row r="1" customFormat="false" ht="21.75" hidden="false" customHeight="true" outlineLevel="0" collapsed="false">
      <c r="A1" s="1" t="s">
        <v>621</v>
      </c>
      <c r="B1" s="1"/>
      <c r="C1" s="1"/>
      <c r="D1" s="1"/>
      <c r="E1" s="1"/>
      <c r="F1" s="1"/>
      <c r="G1" s="1"/>
      <c r="H1" s="1"/>
    </row>
    <row r="2" customFormat="false" ht="15" hidden="false" customHeight="false" outlineLevel="0" collapsed="false">
      <c r="A2" s="2" t="s">
        <v>622</v>
      </c>
      <c r="B2" s="2"/>
      <c r="C2" s="2"/>
      <c r="D2" s="2"/>
      <c r="E2" s="2"/>
      <c r="F2" s="2"/>
      <c r="G2" s="2"/>
      <c r="H2" s="2"/>
      <c r="I2" s="2"/>
      <c r="J2" s="2"/>
    </row>
    <row r="4" customFormat="false" ht="15" hidden="false" customHeight="false" outlineLevel="0" collapsed="false">
      <c r="A4" s="8" t="s">
        <v>103</v>
      </c>
      <c r="B4" s="8" t="s">
        <v>15</v>
      </c>
      <c r="C4" s="49"/>
      <c r="D4" s="8" t="s">
        <v>577</v>
      </c>
      <c r="E4" s="8" t="s">
        <v>578</v>
      </c>
      <c r="F4" s="8" t="s">
        <v>579</v>
      </c>
      <c r="G4" s="8" t="s">
        <v>580</v>
      </c>
      <c r="H4" s="8" t="s">
        <v>581</v>
      </c>
      <c r="I4" s="8" t="s">
        <v>623</v>
      </c>
    </row>
    <row r="6" customFormat="false" ht="15" hidden="false" customHeight="false" outlineLevel="0" collapsed="false">
      <c r="A6" s="3" t="s">
        <v>624</v>
      </c>
      <c r="B6" s="3"/>
      <c r="C6" s="3"/>
      <c r="D6" s="3"/>
      <c r="E6" s="3"/>
      <c r="F6" s="3"/>
      <c r="G6" s="3"/>
      <c r="H6" s="3"/>
      <c r="I6" s="3"/>
      <c r="J6" s="3"/>
    </row>
    <row r="7" customFormat="false" ht="15" hidden="false" customHeight="false" outlineLevel="0" collapsed="false">
      <c r="A7" s="4" t="s">
        <v>625</v>
      </c>
      <c r="B7" s="7" t="s">
        <v>588</v>
      </c>
      <c r="D7" s="50" t="n">
        <f aca="false">wacc_per_mgmt</f>
        <v>0.139055295</v>
      </c>
    </row>
    <row r="8" customFormat="false" ht="15" hidden="false" customHeight="false" outlineLevel="0" collapsed="false">
      <c r="A8" s="4" t="s">
        <v>359</v>
      </c>
      <c r="B8" s="7" t="s">
        <v>588</v>
      </c>
      <c r="D8" s="50" t="n">
        <f aca="false">terminal_growth_rate</f>
        <v>0.03</v>
      </c>
    </row>
    <row r="10" customFormat="false" ht="15" hidden="false" customHeight="false" outlineLevel="0" collapsed="false">
      <c r="A10" s="3" t="s">
        <v>626</v>
      </c>
      <c r="B10" s="3"/>
      <c r="C10" s="3"/>
      <c r="D10" s="3"/>
      <c r="E10" s="3"/>
      <c r="F10" s="3"/>
      <c r="G10" s="3"/>
      <c r="H10" s="3"/>
      <c r="I10" s="3"/>
      <c r="J10" s="3"/>
    </row>
    <row r="11" customFormat="false" ht="15" hidden="false" customHeight="false" outlineLevel="0" collapsed="false">
      <c r="A11" s="4" t="s">
        <v>627</v>
      </c>
      <c r="B11" s="7" t="s">
        <v>536</v>
      </c>
      <c r="D11" s="44" t="n">
        <f aca="false">Projections!D71</f>
        <v>-2889.5</v>
      </c>
      <c r="E11" s="44" t="n">
        <f aca="false">Projections!E71</f>
        <v>10280.5</v>
      </c>
      <c r="F11" s="44" t="n">
        <f aca="false">Projections!F71</f>
        <v>27222.416</v>
      </c>
      <c r="G11" s="44" t="n">
        <f aca="false">Projections!G71</f>
        <v>39125.25604</v>
      </c>
      <c r="H11" s="44" t="n">
        <f aca="false">Projections!H71</f>
        <v>51448.336472</v>
      </c>
    </row>
    <row r="12" customFormat="false" ht="15" hidden="false" customHeight="false" outlineLevel="0" collapsed="false">
      <c r="A12" s="4" t="s">
        <v>628</v>
      </c>
      <c r="B12" s="7" t="s">
        <v>629</v>
      </c>
      <c r="D12" s="51" t="n">
        <v>1</v>
      </c>
      <c r="E12" s="51" t="n">
        <v>2</v>
      </c>
      <c r="F12" s="51" t="n">
        <v>3</v>
      </c>
      <c r="G12" s="51" t="n">
        <v>4</v>
      </c>
      <c r="H12" s="51" t="n">
        <v>5</v>
      </c>
    </row>
    <row r="13" customFormat="false" ht="15" hidden="false" customHeight="false" outlineLevel="0" collapsed="false">
      <c r="A13" s="4" t="s">
        <v>630</v>
      </c>
      <c r="B13" s="7" t="s">
        <v>631</v>
      </c>
      <c r="D13" s="52" t="n">
        <f aca="false">1/(1+wacc_per_mgmt)^D12</f>
        <v>0.877920505167399</v>
      </c>
      <c r="E13" s="52" t="n">
        <f aca="false">1/(1+wacc_per_mgmt)^E12</f>
        <v>0.77074441339338</v>
      </c>
      <c r="F13" s="52" t="n">
        <f aca="false">1/(1+wacc_per_mgmt)^F12</f>
        <v>0.676652324761267</v>
      </c>
      <c r="G13" s="52" t="n">
        <f aca="false">1/(1+wacc_per_mgmt)^G12</f>
        <v>0.594046950777106</v>
      </c>
      <c r="H13" s="52" t="n">
        <f aca="false">1/(1+wacc_per_mgmt)^H12</f>
        <v>0.521525999119389</v>
      </c>
    </row>
    <row r="14" customFormat="false" ht="15" hidden="false" customHeight="false" outlineLevel="0" collapsed="false">
      <c r="A14" s="4" t="s">
        <v>632</v>
      </c>
      <c r="B14" s="7" t="s">
        <v>536</v>
      </c>
      <c r="D14" s="44" t="n">
        <f aca="false">D11*D13</f>
        <v>-2536.7512996812</v>
      </c>
      <c r="E14" s="44" t="n">
        <f aca="false">E11*E13</f>
        <v>7923.63794189064</v>
      </c>
      <c r="F14" s="44" t="n">
        <f aca="false">F11*F13</f>
        <v>18420.1110720183</v>
      </c>
      <c r="G14" s="44" t="n">
        <f aca="false">G11*G13</f>
        <v>23242.2390489355</v>
      </c>
      <c r="H14" s="44" t="n">
        <f aca="false">H11*H13</f>
        <v>26831.6450815903</v>
      </c>
    </row>
    <row r="16" customFormat="false" ht="15" hidden="false" customHeight="false" outlineLevel="0" collapsed="false">
      <c r="A16" s="3" t="s">
        <v>633</v>
      </c>
      <c r="B16" s="3"/>
      <c r="C16" s="3"/>
      <c r="D16" s="3"/>
      <c r="E16" s="3"/>
      <c r="F16" s="3"/>
      <c r="G16" s="3"/>
      <c r="H16" s="3"/>
      <c r="I16" s="3"/>
      <c r="J16" s="3"/>
    </row>
    <row r="17" customFormat="false" ht="15" hidden="false" customHeight="false" outlineLevel="0" collapsed="false">
      <c r="A17" s="4" t="s">
        <v>634</v>
      </c>
      <c r="I17" s="0" t="str">
        <f aca="false">terminal_method</f>
        <v>gordon_growth</v>
      </c>
    </row>
    <row r="18" customFormat="false" ht="15" hidden="false" customHeight="false" outlineLevel="0" collapsed="false">
      <c r="A18" s="4" t="s">
        <v>635</v>
      </c>
      <c r="B18" s="7" t="s">
        <v>536</v>
      </c>
      <c r="I18" s="44" t="n">
        <f aca="false">Projections!H71</f>
        <v>51448.336472</v>
      </c>
    </row>
    <row r="19" customFormat="false" ht="15" hidden="false" customHeight="false" outlineLevel="0" collapsed="false">
      <c r="A19" s="4" t="s">
        <v>636</v>
      </c>
      <c r="B19" s="7" t="s">
        <v>536</v>
      </c>
      <c r="I19" s="44" t="n">
        <f aca="false">IFERROR(I18*(1+terminal_growth_rate)/(wacc_per_mgmt-terminal_growth_rate),0)</f>
        <v>485916.67709633</v>
      </c>
    </row>
    <row r="20" customFormat="false" ht="15" hidden="false" customHeight="false" outlineLevel="0" collapsed="false">
      <c r="A20" s="4" t="s">
        <v>637</v>
      </c>
      <c r="B20" s="7" t="s">
        <v>536</v>
      </c>
      <c r="I20" s="44" t="n">
        <f aca="false">IF(EXACT(terminal_exit_multiple_type,"EV/EBITDA"),Projections!H50*terminal_exit_multiple_value,IF(EXACT(terminal_exit_multiple_type,"EV/Sales"),Projections!H25*terminal_exit_multiple_value,IF(EXACT(terminal_exit_multiple_type,"P/E"),Projections!H58*terminal_exit_multiple_value,0)))</f>
        <v>0</v>
      </c>
    </row>
    <row r="21" customFormat="false" ht="15" hidden="false" customHeight="false" outlineLevel="0" collapsed="false">
      <c r="A21" s="4" t="s">
        <v>638</v>
      </c>
      <c r="B21" s="7" t="s">
        <v>536</v>
      </c>
      <c r="I21" s="44" t="n">
        <f aca="false">IF(EXACT(terminal_method,"exit_multiple"),I20,I19)</f>
        <v>485916.67709633</v>
      </c>
    </row>
    <row r="22" customFormat="false" ht="15" hidden="false" customHeight="false" outlineLevel="0" collapsed="false">
      <c r="A22" s="4" t="s">
        <v>639</v>
      </c>
      <c r="B22" s="7" t="s">
        <v>536</v>
      </c>
      <c r="I22" s="44" t="n">
        <f aca="false">I21*H13</f>
        <v>253418.180511437</v>
      </c>
    </row>
    <row r="24" customFormat="false" ht="15" hidden="false" customHeight="false" outlineLevel="0" collapsed="false">
      <c r="A24" s="3" t="s">
        <v>138</v>
      </c>
      <c r="B24" s="3"/>
      <c r="C24" s="3"/>
      <c r="D24" s="3"/>
      <c r="E24" s="3"/>
      <c r="F24" s="3"/>
      <c r="G24" s="3"/>
      <c r="H24" s="3"/>
      <c r="I24" s="3"/>
      <c r="J24" s="3"/>
    </row>
    <row r="25" customFormat="false" ht="15" hidden="false" customHeight="false" outlineLevel="0" collapsed="false">
      <c r="A25" s="4" t="s">
        <v>640</v>
      </c>
      <c r="I25" s="44" t="n">
        <f aca="false">SUM(D14:H14)</f>
        <v>73880.8818447536</v>
      </c>
    </row>
    <row r="26" customFormat="false" ht="15" hidden="false" customHeight="false" outlineLevel="0" collapsed="false">
      <c r="A26" s="4" t="s">
        <v>641</v>
      </c>
      <c r="I26" s="44" t="n">
        <f aca="false">I22</f>
        <v>253418.180511437</v>
      </c>
    </row>
    <row r="27" customFormat="false" ht="15" hidden="false" customHeight="false" outlineLevel="0" collapsed="false">
      <c r="A27" s="47" t="s">
        <v>138</v>
      </c>
      <c r="I27" s="48" t="n">
        <f aca="false">I25+I26</f>
        <v>327299.062356191</v>
      </c>
    </row>
  </sheetData>
  <mergeCells count="6">
    <mergeCell ref="A1:H1"/>
    <mergeCell ref="A2:J2"/>
    <mergeCell ref="A6:J6"/>
    <mergeCell ref="A10:J10"/>
    <mergeCell ref="A16:J16"/>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2"/>
    <col collapsed="false" customWidth="true" hidden="false" outlineLevel="0" max="9" min="3" style="0" width="14"/>
  </cols>
  <sheetData>
    <row r="1" customFormat="false" ht="21.75" hidden="false" customHeight="true" outlineLevel="0" collapsed="false">
      <c r="A1" s="1" t="s">
        <v>642</v>
      </c>
      <c r="B1" s="1"/>
      <c r="C1" s="1"/>
      <c r="D1" s="1"/>
      <c r="E1" s="1"/>
      <c r="F1" s="1"/>
      <c r="G1" s="1"/>
      <c r="H1" s="1"/>
    </row>
    <row r="2" customFormat="false" ht="15" hidden="false" customHeight="false" outlineLevel="0" collapsed="false">
      <c r="A2" s="2" t="s">
        <v>622</v>
      </c>
      <c r="B2" s="2"/>
      <c r="C2" s="2"/>
      <c r="D2" s="2"/>
      <c r="E2" s="2"/>
      <c r="F2" s="2"/>
      <c r="G2" s="2"/>
      <c r="H2" s="2"/>
      <c r="I2" s="2"/>
      <c r="J2" s="2"/>
    </row>
    <row r="4" customFormat="false" ht="15" hidden="false" customHeight="false" outlineLevel="0" collapsed="false">
      <c r="A4" s="8" t="s">
        <v>103</v>
      </c>
      <c r="B4" s="8" t="s">
        <v>15</v>
      </c>
      <c r="C4" s="49"/>
      <c r="D4" s="8" t="s">
        <v>577</v>
      </c>
      <c r="E4" s="8" t="s">
        <v>578</v>
      </c>
      <c r="F4" s="8" t="s">
        <v>579</v>
      </c>
      <c r="G4" s="8" t="s">
        <v>580</v>
      </c>
      <c r="H4" s="8" t="s">
        <v>581</v>
      </c>
      <c r="I4" s="8" t="s">
        <v>623</v>
      </c>
    </row>
    <row r="6" customFormat="false" ht="15" hidden="false" customHeight="false" outlineLevel="0" collapsed="false">
      <c r="A6" s="3" t="s">
        <v>624</v>
      </c>
      <c r="B6" s="3"/>
      <c r="C6" s="3"/>
      <c r="D6" s="3"/>
      <c r="E6" s="3"/>
      <c r="F6" s="3"/>
      <c r="G6" s="3"/>
      <c r="H6" s="3"/>
      <c r="I6" s="3"/>
      <c r="J6" s="3"/>
    </row>
    <row r="7" customFormat="false" ht="15" hidden="false" customHeight="false" outlineLevel="0" collapsed="false">
      <c r="A7" s="4" t="s">
        <v>625</v>
      </c>
      <c r="B7" s="7" t="s">
        <v>588</v>
      </c>
      <c r="D7" s="50" t="n">
        <f aca="false">wacc_indep</f>
        <v>0.1558895</v>
      </c>
    </row>
    <row r="8" customFormat="false" ht="15" hidden="false" customHeight="false" outlineLevel="0" collapsed="false">
      <c r="A8" s="4" t="s">
        <v>359</v>
      </c>
      <c r="B8" s="7" t="s">
        <v>588</v>
      </c>
      <c r="D8" s="50" t="n">
        <f aca="false">terminal_growth_rate</f>
        <v>0.03</v>
      </c>
    </row>
    <row r="10" customFormat="false" ht="15" hidden="false" customHeight="false" outlineLevel="0" collapsed="false">
      <c r="A10" s="3" t="s">
        <v>626</v>
      </c>
      <c r="B10" s="3"/>
      <c r="C10" s="3"/>
      <c r="D10" s="3"/>
      <c r="E10" s="3"/>
      <c r="F10" s="3"/>
      <c r="G10" s="3"/>
      <c r="H10" s="3"/>
      <c r="I10" s="3"/>
      <c r="J10" s="3"/>
    </row>
    <row r="11" customFormat="false" ht="15" hidden="false" customHeight="false" outlineLevel="0" collapsed="false">
      <c r="A11" s="4" t="s">
        <v>627</v>
      </c>
      <c r="B11" s="7" t="s">
        <v>536</v>
      </c>
      <c r="D11" s="44" t="n">
        <f aca="false">Projections!D71</f>
        <v>-2889.5</v>
      </c>
      <c r="E11" s="44" t="n">
        <f aca="false">Projections!E71</f>
        <v>10280.5</v>
      </c>
      <c r="F11" s="44" t="n">
        <f aca="false">Projections!F71</f>
        <v>27222.416</v>
      </c>
      <c r="G11" s="44" t="n">
        <f aca="false">Projections!G71</f>
        <v>39125.25604</v>
      </c>
      <c r="H11" s="44" t="n">
        <f aca="false">Projections!H71</f>
        <v>51448.336472</v>
      </c>
    </row>
    <row r="12" customFormat="false" ht="15" hidden="false" customHeight="false" outlineLevel="0" collapsed="false">
      <c r="A12" s="4" t="s">
        <v>628</v>
      </c>
      <c r="B12" s="7" t="s">
        <v>629</v>
      </c>
      <c r="D12" s="51" t="n">
        <v>1</v>
      </c>
      <c r="E12" s="51" t="n">
        <v>2</v>
      </c>
      <c r="F12" s="51" t="n">
        <v>3</v>
      </c>
      <c r="G12" s="51" t="n">
        <v>4</v>
      </c>
      <c r="H12" s="51" t="n">
        <v>5</v>
      </c>
    </row>
    <row r="13" customFormat="false" ht="15" hidden="false" customHeight="false" outlineLevel="0" collapsed="false">
      <c r="A13" s="4" t="s">
        <v>630</v>
      </c>
      <c r="B13" s="7" t="s">
        <v>631</v>
      </c>
      <c r="D13" s="52" t="n">
        <f aca="false">1/(1+wacc_indep)^D12</f>
        <v>0.865134599803874</v>
      </c>
      <c r="E13" s="52" t="n">
        <f aca="false">1/(1+wacc_indep)^E12</f>
        <v>0.748457875777809</v>
      </c>
      <c r="F13" s="52" t="n">
        <f aca="false">1/(1+wacc_indep)^F12</f>
        <v>0.647516804831093</v>
      </c>
      <c r="G13" s="52" t="n">
        <f aca="false">1/(1+wacc_indep)^G12</f>
        <v>0.56018919181383</v>
      </c>
      <c r="H13" s="52" t="n">
        <f aca="false">1/(1+wacc_indep)^H12</f>
        <v>0.484639052274314</v>
      </c>
    </row>
    <row r="14" customFormat="false" ht="15" hidden="false" customHeight="false" outlineLevel="0" collapsed="false">
      <c r="A14" s="4" t="s">
        <v>632</v>
      </c>
      <c r="B14" s="7" t="s">
        <v>536</v>
      </c>
      <c r="D14" s="44" t="n">
        <f aca="false">D11*D13</f>
        <v>-2499.80642613329</v>
      </c>
      <c r="E14" s="44" t="n">
        <f aca="false">E11*E13</f>
        <v>7694.52119193377</v>
      </c>
      <c r="F14" s="44" t="n">
        <f aca="false">F11*F13</f>
        <v>17626.9718281028</v>
      </c>
      <c r="G14" s="44" t="n">
        <f aca="false">G11*G13</f>
        <v>21917.5455605568</v>
      </c>
      <c r="H14" s="44" t="n">
        <f aca="false">H11*H13</f>
        <v>24933.8730288801</v>
      </c>
    </row>
    <row r="16" customFormat="false" ht="15" hidden="false" customHeight="false" outlineLevel="0" collapsed="false">
      <c r="A16" s="3" t="s">
        <v>633</v>
      </c>
      <c r="B16" s="3"/>
      <c r="C16" s="3"/>
      <c r="D16" s="3"/>
      <c r="E16" s="3"/>
      <c r="F16" s="3"/>
      <c r="G16" s="3"/>
      <c r="H16" s="3"/>
      <c r="I16" s="3"/>
      <c r="J16" s="3"/>
    </row>
    <row r="17" customFormat="false" ht="15" hidden="false" customHeight="false" outlineLevel="0" collapsed="false">
      <c r="A17" s="4" t="s">
        <v>634</v>
      </c>
      <c r="I17" s="0" t="str">
        <f aca="false">terminal_method</f>
        <v>gordon_growth</v>
      </c>
    </row>
    <row r="18" customFormat="false" ht="15" hidden="false" customHeight="false" outlineLevel="0" collapsed="false">
      <c r="A18" s="4" t="s">
        <v>635</v>
      </c>
      <c r="B18" s="7" t="s">
        <v>536</v>
      </c>
      <c r="I18" s="44" t="n">
        <f aca="false">Projections!H71</f>
        <v>51448.336472</v>
      </c>
    </row>
    <row r="19" customFormat="false" ht="15" hidden="false" customHeight="false" outlineLevel="0" collapsed="false">
      <c r="A19" s="4" t="s">
        <v>636</v>
      </c>
      <c r="B19" s="7" t="s">
        <v>536</v>
      </c>
      <c r="I19" s="44" t="n">
        <f aca="false">IFERROR(I18*(1+terminal_growth_rate)/(wacc_indep-terminal_growth_rate),0)</f>
        <v>420938.891378232</v>
      </c>
    </row>
    <row r="20" customFormat="false" ht="15" hidden="false" customHeight="false" outlineLevel="0" collapsed="false">
      <c r="A20" s="4" t="s">
        <v>637</v>
      </c>
      <c r="B20" s="7" t="s">
        <v>536</v>
      </c>
      <c r="I20" s="44" t="n">
        <f aca="false">IF(EXACT(terminal_exit_multiple_type,"EV/EBITDA"),Projections!H50*terminal_exit_multiple_value,IF(EXACT(terminal_exit_multiple_type,"EV/Sales"),Projections!H25*terminal_exit_multiple_value,IF(EXACT(terminal_exit_multiple_type,"P/E"),Projections!H58*terminal_exit_multiple_value,0)))</f>
        <v>0</v>
      </c>
    </row>
    <row r="21" customFormat="false" ht="15" hidden="false" customHeight="false" outlineLevel="0" collapsed="false">
      <c r="A21" s="4" t="s">
        <v>638</v>
      </c>
      <c r="B21" s="7" t="s">
        <v>536</v>
      </c>
      <c r="I21" s="44" t="n">
        <f aca="false">IF(EXACT(terminal_method,"exit_multiple"),I20,I19)</f>
        <v>420938.891378232</v>
      </c>
    </row>
    <row r="22" customFormat="false" ht="15" hidden="false" customHeight="false" outlineLevel="0" collapsed="false">
      <c r="A22" s="4" t="s">
        <v>639</v>
      </c>
      <c r="B22" s="7" t="s">
        <v>536</v>
      </c>
      <c r="I22" s="44" t="n">
        <f aca="false">I21*H13</f>
        <v>204003.425382947</v>
      </c>
    </row>
    <row r="24" customFormat="false" ht="15" hidden="false" customHeight="false" outlineLevel="0" collapsed="false">
      <c r="A24" s="3" t="s">
        <v>138</v>
      </c>
      <c r="B24" s="3"/>
      <c r="C24" s="3"/>
      <c r="D24" s="3"/>
      <c r="E24" s="3"/>
      <c r="F24" s="3"/>
      <c r="G24" s="3"/>
      <c r="H24" s="3"/>
      <c r="I24" s="3"/>
      <c r="J24" s="3"/>
    </row>
    <row r="25" customFormat="false" ht="15" hidden="false" customHeight="false" outlineLevel="0" collapsed="false">
      <c r="A25" s="4" t="s">
        <v>640</v>
      </c>
      <c r="I25" s="44" t="n">
        <f aca="false">SUM(D14:H14)</f>
        <v>69673.1051833402</v>
      </c>
    </row>
    <row r="26" customFormat="false" ht="15" hidden="false" customHeight="false" outlineLevel="0" collapsed="false">
      <c r="A26" s="4" t="s">
        <v>641</v>
      </c>
      <c r="I26" s="44" t="n">
        <f aca="false">I22</f>
        <v>204003.425382947</v>
      </c>
    </row>
    <row r="27" customFormat="false" ht="15" hidden="false" customHeight="false" outlineLevel="0" collapsed="false">
      <c r="A27" s="47" t="s">
        <v>138</v>
      </c>
      <c r="I27" s="48" t="n">
        <f aca="false">I25+I26</f>
        <v>273676.530566287</v>
      </c>
    </row>
  </sheetData>
  <mergeCells count="6">
    <mergeCell ref="A1:H1"/>
    <mergeCell ref="A2:J2"/>
    <mergeCell ref="A6:J6"/>
    <mergeCell ref="A10:J10"/>
    <mergeCell ref="A16:J16"/>
    <mergeCell ref="A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5" min="3" style="0" width="14"/>
    <col collapsed="false" customWidth="true" hidden="false" outlineLevel="0" max="8" min="6" style="0" width="16"/>
  </cols>
  <sheetData>
    <row r="1" customFormat="false" ht="21.75" hidden="false" customHeight="true" outlineLevel="0" collapsed="false">
      <c r="A1" s="1" t="s">
        <v>643</v>
      </c>
      <c r="B1" s="1"/>
      <c r="C1" s="1"/>
      <c r="D1" s="1"/>
      <c r="E1" s="1"/>
      <c r="F1" s="1"/>
      <c r="G1" s="1"/>
      <c r="H1" s="1"/>
    </row>
    <row r="2" customFormat="false" ht="15" hidden="false" customHeight="false" outlineLevel="0" collapsed="false">
      <c r="A2" s="2" t="s">
        <v>644</v>
      </c>
      <c r="B2" s="2"/>
      <c r="C2" s="2"/>
      <c r="D2" s="2"/>
      <c r="E2" s="2"/>
      <c r="F2" s="2"/>
      <c r="G2" s="2"/>
      <c r="H2" s="2"/>
    </row>
    <row r="4" customFormat="false" ht="26.85" hidden="false" customHeight="false" outlineLevel="0" collapsed="false">
      <c r="A4" s="22" t="s">
        <v>155</v>
      </c>
      <c r="B4" s="22" t="s">
        <v>645</v>
      </c>
      <c r="C4" s="22" t="s">
        <v>646</v>
      </c>
      <c r="D4" s="22" t="s">
        <v>647</v>
      </c>
      <c r="E4" s="22" t="s">
        <v>648</v>
      </c>
      <c r="F4" s="22" t="s">
        <v>649</v>
      </c>
      <c r="G4" s="22" t="s">
        <v>650</v>
      </c>
      <c r="H4" s="22" t="s">
        <v>651</v>
      </c>
    </row>
    <row r="6" customFormat="false" ht="15" hidden="false" customHeight="false" outlineLevel="0" collapsed="false">
      <c r="A6" s="3" t="s">
        <v>652</v>
      </c>
      <c r="B6" s="3"/>
      <c r="C6" s="3"/>
      <c r="D6" s="3"/>
      <c r="E6" s="3"/>
      <c r="F6" s="3"/>
      <c r="G6" s="3"/>
      <c r="H6" s="3"/>
    </row>
    <row r="7" customFormat="false" ht="15" hidden="false" customHeight="false" outlineLevel="0" collapsed="false">
      <c r="A7" s="4" t="s">
        <v>653</v>
      </c>
      <c r="B7" s="43" t="n">
        <f aca="false">Projections!D25</f>
        <v>145000</v>
      </c>
      <c r="C7" s="53" t="n">
        <f aca="false">'CoCo Multiples'!F41</f>
        <v>3.075</v>
      </c>
      <c r="D7" s="53" t="n">
        <f aca="false">'CoCo Multiples'!F39</f>
        <v>3.35</v>
      </c>
      <c r="E7" s="53" t="n">
        <f aca="false">'CoCo Multiples'!F38</f>
        <v>3.775</v>
      </c>
      <c r="F7" s="43" t="n">
        <f aca="false">IFERROR(B7*C7,"n/a")</f>
        <v>445875</v>
      </c>
      <c r="G7" s="43" t="n">
        <f aca="false">IFERROR(B7*D7,"n/a")</f>
        <v>485750</v>
      </c>
      <c r="H7" s="43" t="n">
        <f aca="false">IFERROR(B7*E7,"n/a")</f>
        <v>547375</v>
      </c>
    </row>
    <row r="8" customFormat="false" ht="15" hidden="false" customHeight="false" outlineLevel="0" collapsed="false">
      <c r="A8" s="4" t="s">
        <v>654</v>
      </c>
      <c r="B8" s="43" t="n">
        <f aca="false">Projections!D50</f>
        <v>10150</v>
      </c>
      <c r="C8" s="54" t="n">
        <f aca="false">'CoCo Multiples'!H41</f>
        <v>13.125</v>
      </c>
      <c r="D8" s="54" t="n">
        <f aca="false">'CoCo Multiples'!H39</f>
        <v>14.25</v>
      </c>
      <c r="E8" s="54" t="n">
        <f aca="false">'CoCo Multiples'!H38</f>
        <v>15.75</v>
      </c>
      <c r="F8" s="43" t="n">
        <f aca="false">IFERROR(B8*C8,"n/a")</f>
        <v>133218.75</v>
      </c>
      <c r="G8" s="43" t="n">
        <f aca="false">IFERROR(B8*D8,"n/a")</f>
        <v>144637.5</v>
      </c>
      <c r="H8" s="43" t="n">
        <f aca="false">IFERROR(B8*E8,"n/a")</f>
        <v>159862.5</v>
      </c>
    </row>
    <row r="9" customFormat="false" ht="15" hidden="false" customHeight="false" outlineLevel="0" collapsed="false">
      <c r="A9" s="4" t="s">
        <v>655</v>
      </c>
      <c r="B9" s="43" t="n">
        <f aca="false">Projections!D58</f>
        <v>3610.5</v>
      </c>
      <c r="C9" s="54" t="n">
        <f aca="false">'CoCo Multiples'!J41</f>
        <v>19.5</v>
      </c>
      <c r="D9" s="54" t="n">
        <f aca="false">'CoCo Multiples'!J39</f>
        <v>21</v>
      </c>
      <c r="E9" s="54" t="n">
        <f aca="false">'CoCo Multiples'!J38</f>
        <v>23</v>
      </c>
      <c r="F9" s="43" t="n">
        <f aca="false">IFERROR(B9*C9,"n/a")</f>
        <v>70404.75</v>
      </c>
      <c r="G9" s="43" t="n">
        <f aca="false">IFERROR(B9*D9,"n/a")</f>
        <v>75820.5</v>
      </c>
      <c r="H9" s="43" t="n">
        <f aca="false">IFERROR(B9*E9,"n/a")</f>
        <v>83041.5</v>
      </c>
    </row>
    <row r="11" customFormat="false" ht="15" hidden="false" customHeight="false" outlineLevel="0" collapsed="false">
      <c r="A11" s="3" t="s">
        <v>656</v>
      </c>
      <c r="B11" s="3"/>
      <c r="C11" s="3"/>
      <c r="D11" s="3"/>
      <c r="E11" s="3"/>
      <c r="F11" s="3"/>
      <c r="G11" s="3"/>
      <c r="H11" s="3"/>
    </row>
    <row r="12" customFormat="false" ht="15" hidden="false" customHeight="false" outlineLevel="0" collapsed="false">
      <c r="A12" s="2" t="s">
        <v>657</v>
      </c>
      <c r="B12" s="2"/>
      <c r="C12" s="2"/>
      <c r="D12" s="2"/>
      <c r="E12" s="2"/>
      <c r="F12" s="2"/>
      <c r="G12" s="2"/>
      <c r="H12" s="2"/>
    </row>
    <row r="14" customFormat="false" ht="15" hidden="false" customHeight="false" outlineLevel="0" collapsed="false">
      <c r="A14" s="3" t="s">
        <v>658</v>
      </c>
      <c r="B14" s="3"/>
      <c r="C14" s="3"/>
      <c r="D14" s="3"/>
      <c r="E14" s="3"/>
      <c r="F14" s="3"/>
      <c r="G14" s="3"/>
      <c r="H14" s="3"/>
    </row>
    <row r="15" customFormat="false" ht="15" hidden="false" customHeight="false" outlineLevel="0" collapsed="false">
      <c r="A15" s="47" t="s">
        <v>659</v>
      </c>
      <c r="B15" s="55" t="n">
        <f aca="false">DCF!I27</f>
        <v>327299.062356191</v>
      </c>
    </row>
    <row r="16" customFormat="false" ht="15" hidden="false" customHeight="false" outlineLevel="0" collapsed="false">
      <c r="A16" s="47" t="s">
        <v>660</v>
      </c>
      <c r="B16" s="55" t="n">
        <f aca="false">'DCF (Independent)'!I27</f>
        <v>273676.530566287</v>
      </c>
    </row>
    <row r="17" customFormat="false" ht="15" hidden="false" customHeight="false" outlineLevel="0" collapsed="false">
      <c r="A17" s="4" t="s">
        <v>661</v>
      </c>
      <c r="B17" s="43" t="n">
        <f aca="false">G7</f>
        <v>485750</v>
      </c>
    </row>
    <row r="18" customFormat="false" ht="15" hidden="false" customHeight="false" outlineLevel="0" collapsed="false">
      <c r="A18" s="4" t="s">
        <v>662</v>
      </c>
      <c r="B18" s="43" t="n">
        <f aca="false">G8</f>
        <v>144637.5</v>
      </c>
    </row>
    <row r="19" customFormat="false" ht="15" hidden="false" customHeight="false" outlineLevel="0" collapsed="false">
      <c r="A19" s="4" t="s">
        <v>663</v>
      </c>
      <c r="B19" s="43" t="n">
        <f aca="false">G9</f>
        <v>75820.5</v>
      </c>
    </row>
    <row r="20" customFormat="false" ht="15" hidden="false" customHeight="false" outlineLevel="0" collapsed="false">
      <c r="A20" s="4" t="s">
        <v>664</v>
      </c>
      <c r="B20" s="43" t="n">
        <f aca="false">G9-surplus_assets-non_operating_assets+IF(ISNUMBER(net_debt_override),net_debt_override,0)+minority_interests</f>
        <v>50820.5</v>
      </c>
    </row>
    <row r="21" customFormat="false" ht="15" hidden="false" customHeight="false" outlineLevel="0" collapsed="false">
      <c r="A21" s="47" t="s">
        <v>665</v>
      </c>
      <c r="B21" s="55" t="n">
        <f aca="false">AVERAGE(B17,B18,B20)</f>
        <v>227069.333333333</v>
      </c>
    </row>
  </sheetData>
  <mergeCells count="6">
    <mergeCell ref="A1:H1"/>
    <mergeCell ref="A2:H2"/>
    <mergeCell ref="A6:H6"/>
    <mergeCell ref="A11:H11"/>
    <mergeCell ref="A12:H12"/>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4" min="2" style="0" width="14"/>
    <col collapsed="false" customWidth="true" hidden="false" outlineLevel="0" max="5" min="5" style="0" width="10"/>
    <col collapsed="false" customWidth="true" hidden="false" outlineLevel="0" max="6" min="6" style="0" width="14"/>
    <col collapsed="false" customWidth="true" hidden="false" outlineLevel="0" max="7" min="7" style="0" width="30"/>
  </cols>
  <sheetData>
    <row r="1" customFormat="false" ht="21.75" hidden="false" customHeight="true" outlineLevel="0" collapsed="false">
      <c r="A1" s="1" t="s">
        <v>666</v>
      </c>
      <c r="B1" s="1"/>
      <c r="C1" s="1"/>
      <c r="D1" s="1"/>
      <c r="E1" s="1"/>
      <c r="F1" s="1"/>
      <c r="G1" s="1"/>
      <c r="H1" s="1"/>
    </row>
    <row r="2" customFormat="false" ht="15" hidden="false" customHeight="false" outlineLevel="0" collapsed="false">
      <c r="A2" s="2" t="s">
        <v>667</v>
      </c>
      <c r="B2" s="2"/>
      <c r="C2" s="2"/>
      <c r="D2" s="2"/>
      <c r="E2" s="2"/>
      <c r="F2" s="2"/>
      <c r="G2" s="2"/>
    </row>
    <row r="4" customFormat="false" ht="15" hidden="false" customHeight="false" outlineLevel="0" collapsed="false">
      <c r="A4" s="8" t="s">
        <v>21</v>
      </c>
      <c r="B4" s="8" t="s">
        <v>144</v>
      </c>
      <c r="C4" s="8" t="s">
        <v>145</v>
      </c>
      <c r="D4" s="8" t="s">
        <v>146</v>
      </c>
      <c r="E4" s="8" t="s">
        <v>22</v>
      </c>
      <c r="F4" s="8" t="s">
        <v>668</v>
      </c>
      <c r="G4" s="8" t="s">
        <v>24</v>
      </c>
    </row>
    <row r="6" customFormat="false" ht="15" hidden="false" customHeight="false" outlineLevel="0" collapsed="false">
      <c r="A6" s="3" t="s">
        <v>669</v>
      </c>
      <c r="B6" s="3"/>
      <c r="C6" s="3"/>
      <c r="D6" s="3"/>
      <c r="E6" s="3"/>
      <c r="F6" s="3"/>
      <c r="G6" s="3"/>
    </row>
    <row r="7" customFormat="false" ht="15" hidden="false" customHeight="false" outlineLevel="0" collapsed="false">
      <c r="A7" s="56" t="s">
        <v>148</v>
      </c>
      <c r="B7" s="43" t="n">
        <f aca="false">MIN(DCF!I27,'DCF (Independent)'!I27)</f>
        <v>273676.530566287</v>
      </c>
      <c r="C7" s="43" t="n">
        <f aca="false">AVERAGE(DCF!I27,'DCF (Independent)'!I27)</f>
        <v>300487.796461239</v>
      </c>
      <c r="D7" s="43" t="n">
        <f aca="false">MAX(DCF!I27,'DCF (Independent)'!I27)</f>
        <v>327299.062356191</v>
      </c>
      <c r="E7" s="57" t="n">
        <f aca="false">weight_dcf</f>
        <v>0.5</v>
      </c>
      <c r="F7" s="43" t="n">
        <f aca="false">C7*E7</f>
        <v>150243.898230619</v>
      </c>
      <c r="G7" s="35" t="s">
        <v>670</v>
      </c>
    </row>
    <row r="8" customFormat="false" ht="15" hidden="false" customHeight="false" outlineLevel="0" collapsed="false">
      <c r="A8" s="23" t="s">
        <v>671</v>
      </c>
      <c r="B8" s="43" t="n">
        <f aca="false">Comps!F7</f>
        <v>445875</v>
      </c>
      <c r="C8" s="43" t="n">
        <f aca="false">Comps!G7</f>
        <v>485750</v>
      </c>
      <c r="D8" s="43" t="n">
        <f aca="false">Comps!H7</f>
        <v>547375</v>
      </c>
      <c r="E8" s="34"/>
      <c r="F8" s="34"/>
      <c r="G8" s="35" t="s">
        <v>672</v>
      </c>
    </row>
    <row r="9" customFormat="false" ht="15" hidden="false" customHeight="false" outlineLevel="0" collapsed="false">
      <c r="A9" s="23" t="s">
        <v>673</v>
      </c>
      <c r="B9" s="43" t="n">
        <f aca="false">Comps!F8</f>
        <v>133218.75</v>
      </c>
      <c r="C9" s="43" t="n">
        <f aca="false">Comps!G8</f>
        <v>144637.5</v>
      </c>
      <c r="D9" s="43" t="n">
        <f aca="false">Comps!H8</f>
        <v>159862.5</v>
      </c>
      <c r="E9" s="34"/>
      <c r="F9" s="34"/>
      <c r="G9" s="35" t="s">
        <v>674</v>
      </c>
    </row>
    <row r="10" customFormat="false" ht="15" hidden="false" customHeight="false" outlineLevel="0" collapsed="false">
      <c r="A10" s="23" t="s">
        <v>675</v>
      </c>
      <c r="B10" s="43" t="n">
        <f aca="false">Comps!F9-surplus_assets-non_operating_assets+IF(ISNUMBER(net_debt_override),net_debt_override,0)+minority_interests</f>
        <v>45404.75</v>
      </c>
      <c r="C10" s="43" t="n">
        <f aca="false">Comps!G9-surplus_assets-non_operating_assets+IF(ISNUMBER(net_debt_override),net_debt_override,0)+minority_interests</f>
        <v>50820.5</v>
      </c>
      <c r="D10" s="43" t="n">
        <f aca="false">Comps!H9-surplus_assets-non_operating_assets+IF(ISNUMBER(net_debt_override),net_debt_override,0)+minority_interests</f>
        <v>58041.5</v>
      </c>
      <c r="E10" s="34"/>
      <c r="F10" s="34"/>
      <c r="G10" s="35" t="s">
        <v>676</v>
      </c>
    </row>
    <row r="11" customFormat="false" ht="15" hidden="false" customHeight="false" outlineLevel="0" collapsed="false">
      <c r="A11" s="56" t="s">
        <v>677</v>
      </c>
      <c r="B11" s="43" t="n">
        <f aca="false">MIN(C8,C9,C10)</f>
        <v>50820.5</v>
      </c>
      <c r="C11" s="43" t="n">
        <f aca="false">AVERAGE(C8,C9,C10)</f>
        <v>227069.333333333</v>
      </c>
      <c r="D11" s="43" t="n">
        <f aca="false">MAX(C8,C9,C10)</f>
        <v>485750</v>
      </c>
      <c r="E11" s="57" t="n">
        <f aca="false">weight_comps</f>
        <v>0.3</v>
      </c>
      <c r="F11" s="43" t="n">
        <f aca="false">C11*E11</f>
        <v>68120.8</v>
      </c>
      <c r="G11" s="35" t="s">
        <v>678</v>
      </c>
    </row>
    <row r="12" customFormat="false" ht="15" hidden="false" customHeight="false" outlineLevel="0" collapsed="false">
      <c r="A12" s="56" t="s">
        <v>679</v>
      </c>
      <c r="B12" s="43" t="n">
        <f aca="false">IFERROR(MIN(IF(INDEX(precedents_table,0,1)=TRUE(),INDEX(precedents_table,0,7)*Projections!D50,"")),0)</f>
        <v>0</v>
      </c>
      <c r="C12" s="43" t="n">
        <f aca="false">IFERROR(AVERAGEIFS(INDEX(precedents_table,0,7),INDEX(precedents_table,0,1),TRUE())*Projections!D50,0)</f>
        <v>243600</v>
      </c>
      <c r="D12" s="43" t="n">
        <f aca="false">IFERROR(MAX(IF(INDEX(precedents_table,0,1)=TRUE(),INDEX(precedents_table,0,7)*Projections!D50,"")),0)</f>
        <v>0</v>
      </c>
      <c r="E12" s="57" t="n">
        <f aca="false">weight_precedent</f>
        <v>0.2</v>
      </c>
      <c r="F12" s="43" t="n">
        <f aca="false">C12*E12</f>
        <v>48720</v>
      </c>
      <c r="G12" s="35" t="s">
        <v>680</v>
      </c>
    </row>
    <row r="14" customFormat="false" ht="15" hidden="false" customHeight="false" outlineLevel="0" collapsed="false">
      <c r="A14" s="3" t="s">
        <v>681</v>
      </c>
      <c r="B14" s="3"/>
      <c r="C14" s="3"/>
      <c r="D14" s="3"/>
      <c r="E14" s="3"/>
      <c r="F14" s="3"/>
      <c r="G14" s="3"/>
    </row>
    <row r="15" customFormat="false" ht="15" hidden="false" customHeight="false" outlineLevel="0" collapsed="false">
      <c r="A15" s="4" t="s">
        <v>682</v>
      </c>
      <c r="E15" s="45" t="n">
        <f aca="false">E7+E11+E12</f>
        <v>1</v>
      </c>
    </row>
    <row r="16" customFormat="false" ht="15" hidden="false" customHeight="false" outlineLevel="0" collapsed="false">
      <c r="A16" s="47" t="s">
        <v>152</v>
      </c>
      <c r="F16" s="48" t="n">
        <f aca="false">IFERROR((F7+F11+F12)/E15,0)</f>
        <v>267084.698230619</v>
      </c>
    </row>
    <row r="17" customFormat="false" ht="15" hidden="false" customHeight="false" outlineLevel="0" collapsed="false">
      <c r="A17" s="3" t="s">
        <v>683</v>
      </c>
      <c r="B17" s="3"/>
      <c r="C17" s="3"/>
      <c r="D17" s="3"/>
      <c r="E17" s="3"/>
      <c r="F17" s="3"/>
      <c r="G17" s="3"/>
    </row>
    <row r="18" customFormat="false" ht="15" hidden="false" customHeight="false" outlineLevel="0" collapsed="false">
      <c r="A18" s="23" t="s">
        <v>684</v>
      </c>
      <c r="B18" s="43" t="n">
        <f aca="false">selected_low</f>
        <v>0</v>
      </c>
      <c r="C18" s="34"/>
      <c r="D18" s="34"/>
      <c r="E18" s="34"/>
      <c r="F18" s="34"/>
      <c r="G18" s="34"/>
    </row>
    <row r="19" customFormat="false" ht="15" hidden="false" customHeight="false" outlineLevel="0" collapsed="false">
      <c r="A19" s="23" t="s">
        <v>685</v>
      </c>
      <c r="B19" s="34"/>
      <c r="C19" s="43" t="n">
        <f aca="false">selected_mid</f>
        <v>0</v>
      </c>
      <c r="D19" s="34"/>
      <c r="E19" s="34"/>
      <c r="F19" s="34"/>
      <c r="G19" s="34"/>
    </row>
    <row r="20" customFormat="false" ht="15" hidden="false" customHeight="false" outlineLevel="0" collapsed="false">
      <c r="A20" s="23" t="s">
        <v>686</v>
      </c>
      <c r="B20" s="34"/>
      <c r="C20" s="34"/>
      <c r="D20" s="43" t="n">
        <f aca="false">selected_high</f>
        <v>0</v>
      </c>
      <c r="E20" s="34"/>
      <c r="F20" s="34"/>
      <c r="G20" s="34"/>
    </row>
    <row r="22" customFormat="false" ht="15" hidden="false" customHeight="false" outlineLevel="0" collapsed="false">
      <c r="A22" s="3" t="s">
        <v>687</v>
      </c>
      <c r="B22" s="3"/>
      <c r="C22" s="3"/>
      <c r="D22" s="3"/>
      <c r="E22" s="3"/>
      <c r="F22" s="3"/>
      <c r="G22" s="3"/>
    </row>
    <row r="23" customFormat="false" ht="15" hidden="false" customHeight="false" outlineLevel="0" collapsed="false">
      <c r="A23" s="58" t="s">
        <v>688</v>
      </c>
      <c r="B23" s="58" t="s">
        <v>689</v>
      </c>
      <c r="C23" s="58" t="s">
        <v>690</v>
      </c>
      <c r="D23" s="58" t="s">
        <v>691</v>
      </c>
      <c r="E23" s="58"/>
      <c r="F23" s="58"/>
      <c r="G23" s="58"/>
    </row>
    <row r="24" customFormat="false" ht="15" hidden="false" customHeight="false" outlineLevel="0" collapsed="false">
      <c r="A24" s="23" t="s">
        <v>692</v>
      </c>
      <c r="B24" s="43" t="n">
        <f aca="false">C11</f>
        <v>227069.333333333</v>
      </c>
      <c r="C24" s="57" t="n">
        <f aca="false">IF(OR(C11=0,DCF!I27=0),"n/a",C11/DCF!I27-1)</f>
        <v>-0.306232863306464</v>
      </c>
      <c r="D24" s="34" t="str">
        <f aca="false">IF(OR(C11=0,DCF!I27=0),"Not available",IF(ABS(C11/DCF!I27-1)&lt;=0.1,"Within reasonable range","Outside cross-check range"))</f>
        <v>Outside cross-check range</v>
      </c>
      <c r="E24" s="34"/>
      <c r="F24" s="34"/>
      <c r="G24" s="34"/>
    </row>
    <row r="25" customFormat="false" ht="15" hidden="false" customHeight="false" outlineLevel="0" collapsed="false">
      <c r="A25" s="23" t="s">
        <v>679</v>
      </c>
      <c r="B25" s="43" t="n">
        <f aca="false">C12</f>
        <v>243600</v>
      </c>
      <c r="C25" s="57" t="n">
        <f aca="false">IF(OR(C12=0,DCF!I27=0),"n/a",C12/DCF!I27-1)</f>
        <v>-0.255726557093229</v>
      </c>
      <c r="D25" s="34" t="str">
        <f aca="false">IF(OR(C12=0,DCF!I27=0),"Not available",IF(ABS(C12/DCF!I27-1)&lt;=0.1,"Within reasonable range","Outside cross-check range"))</f>
        <v>Outside cross-check range</v>
      </c>
      <c r="E25" s="34"/>
      <c r="F25" s="34"/>
      <c r="G25" s="34"/>
    </row>
    <row r="26" customFormat="false" ht="15" hidden="false" customHeight="false" outlineLevel="0" collapsed="false">
      <c r="A26" s="56" t="s">
        <v>693</v>
      </c>
      <c r="B26" s="34"/>
      <c r="C26" s="34"/>
      <c r="D26" s="56" t="str">
        <f aca="false">IF(AND(D24="Not available",D25="Not available"),"Not available",IF(OR(D24="Outside cross-check range",D25="Outside cross-check range"),"Outside cross-check range","Within reasonable range"))</f>
        <v>Outside cross-check range</v>
      </c>
      <c r="E26" s="34"/>
      <c r="F26" s="34"/>
      <c r="G26" s="34"/>
    </row>
  </sheetData>
  <mergeCells count="6">
    <mergeCell ref="A1:H1"/>
    <mergeCell ref="A2:G2"/>
    <mergeCell ref="A6:G6"/>
    <mergeCell ref="A14:G14"/>
    <mergeCell ref="A17:G17"/>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4"/>
    <col collapsed="false" customWidth="true" hidden="false" outlineLevel="0" max="3" min="3" style="0" width="12"/>
    <col collapsed="false" customWidth="true" hidden="false" outlineLevel="0" max="4" min="4" style="0" width="4"/>
    <col collapsed="false" customWidth="true" hidden="false" outlineLevel="0" max="6" min="5" style="0" width="18"/>
  </cols>
  <sheetData>
    <row r="1" customFormat="false" ht="21.75" hidden="false" customHeight="true" outlineLevel="0" collapsed="false">
      <c r="A1" s="1" t="s">
        <v>694</v>
      </c>
      <c r="B1" s="1"/>
      <c r="C1" s="1"/>
      <c r="D1" s="1"/>
      <c r="E1" s="1"/>
      <c r="F1" s="1"/>
      <c r="G1" s="1"/>
      <c r="H1" s="1"/>
    </row>
    <row r="2" customFormat="false" ht="15" hidden="false" customHeight="false" outlineLevel="0" collapsed="false">
      <c r="A2" s="2" t="s">
        <v>695</v>
      </c>
      <c r="B2" s="2"/>
      <c r="C2" s="2"/>
      <c r="D2" s="2"/>
      <c r="E2" s="2"/>
      <c r="F2" s="2"/>
    </row>
    <row r="4" customFormat="false" ht="15" hidden="false" customHeight="false" outlineLevel="0" collapsed="false">
      <c r="A4" s="8" t="s">
        <v>696</v>
      </c>
      <c r="B4" s="8"/>
      <c r="C4" s="8" t="s">
        <v>191</v>
      </c>
      <c r="D4" s="8"/>
      <c r="E4" s="8" t="s">
        <v>697</v>
      </c>
      <c r="F4" s="8" t="s">
        <v>698</v>
      </c>
    </row>
    <row r="6" customFormat="false" ht="15" hidden="false" customHeight="false" outlineLevel="0" collapsed="false">
      <c r="A6" s="3" t="s">
        <v>699</v>
      </c>
      <c r="B6" s="3"/>
      <c r="C6" s="3"/>
      <c r="D6" s="3"/>
      <c r="E6" s="3"/>
      <c r="F6" s="3"/>
    </row>
    <row r="7" customFormat="false" ht="15" hidden="false" customHeight="false" outlineLevel="0" collapsed="false">
      <c r="A7" s="4" t="s">
        <v>478</v>
      </c>
      <c r="C7" s="7" t="s">
        <v>588</v>
      </c>
      <c r="E7" s="59" t="n">
        <f aca="false">IF(ISNUMBER(tax_effective_rate),tax_effective_rate,tax_rate_high)</f>
        <v>0.17</v>
      </c>
      <c r="F7" s="59" t="n">
        <f aca="false">IF(ISNUMBER(tax_effective_rate),tax_effective_rate,tax_rate_high)</f>
        <v>0.17</v>
      </c>
    </row>
    <row r="8" customFormat="false" ht="15" hidden="false" customHeight="false" outlineLevel="0" collapsed="false">
      <c r="A8" s="4" t="s">
        <v>382</v>
      </c>
      <c r="C8" s="7" t="s">
        <v>631</v>
      </c>
      <c r="E8" s="60" t="n">
        <f aca="false">unlevered_beta_per_mgmt</f>
        <v>1.05</v>
      </c>
      <c r="F8" s="60" t="n">
        <f aca="false">unlevered_beta_indep</f>
        <v>1.15</v>
      </c>
    </row>
    <row r="9" customFormat="false" ht="15" hidden="false" customHeight="false" outlineLevel="0" collapsed="false">
      <c r="A9" s="4" t="s">
        <v>476</v>
      </c>
      <c r="C9" s="7" t="s">
        <v>588</v>
      </c>
      <c r="E9" s="59" t="n">
        <f aca="false">target_debt_to_equity_per_mgmt</f>
        <v>0.2</v>
      </c>
      <c r="F9" s="59" t="n">
        <f aca="false">target_debt_to_equity_indep</f>
        <v>0.25</v>
      </c>
    </row>
    <row r="10" customFormat="false" ht="15" hidden="false" customHeight="false" outlineLevel="0" collapsed="false">
      <c r="A10" s="4" t="s">
        <v>700</v>
      </c>
      <c r="C10" s="7" t="s">
        <v>631</v>
      </c>
      <c r="E10" s="60" t="n">
        <f aca="false">E8*(1+(1-E7)*E9)</f>
        <v>1.2243</v>
      </c>
      <c r="F10" s="60" t="n">
        <f aca="false">F8*(1+(1-F7)*F9)</f>
        <v>1.388625</v>
      </c>
    </row>
    <row r="11" customFormat="false" ht="15" hidden="false" customHeight="false" outlineLevel="0" collapsed="false">
      <c r="A11" s="4" t="s">
        <v>127</v>
      </c>
      <c r="C11" s="7" t="s">
        <v>588</v>
      </c>
      <c r="E11" s="59" t="n">
        <f aca="false">risk_free_rate</f>
        <v>0.045</v>
      </c>
      <c r="F11" s="59" t="n">
        <f aca="false">risk_free_rate</f>
        <v>0.045</v>
      </c>
    </row>
    <row r="12" customFormat="false" ht="15" hidden="false" customHeight="false" outlineLevel="0" collapsed="false">
      <c r="A12" s="4" t="s">
        <v>375</v>
      </c>
      <c r="C12" s="7" t="s">
        <v>588</v>
      </c>
      <c r="E12" s="59" t="n">
        <f aca="false">equity_risk_premium</f>
        <v>0.055</v>
      </c>
      <c r="F12" s="59" t="n">
        <f aca="false">equity_risk_premium</f>
        <v>0.055</v>
      </c>
    </row>
    <row r="13" customFormat="false" ht="15" hidden="false" customHeight="false" outlineLevel="0" collapsed="false">
      <c r="A13" s="4" t="s">
        <v>379</v>
      </c>
      <c r="C13" s="7" t="s">
        <v>588</v>
      </c>
      <c r="E13" s="59" t="n">
        <f aca="false">country_risk_premium</f>
        <v>0.005</v>
      </c>
      <c r="F13" s="59" t="n">
        <f aca="false">country_risk_premium</f>
        <v>0.005</v>
      </c>
    </row>
    <row r="14" customFormat="false" ht="15" hidden="false" customHeight="false" outlineLevel="0" collapsed="false">
      <c r="A14" s="4" t="s">
        <v>390</v>
      </c>
      <c r="C14" s="7" t="s">
        <v>588</v>
      </c>
      <c r="E14" s="59" t="n">
        <f aca="false">size_premium_per_mgmt</f>
        <v>0.02</v>
      </c>
      <c r="F14" s="59" t="n">
        <f aca="false">size_premium_indep</f>
        <v>0.025</v>
      </c>
    </row>
    <row r="15" customFormat="false" ht="15" hidden="false" customHeight="false" outlineLevel="0" collapsed="false">
      <c r="A15" s="4" t="s">
        <v>392</v>
      </c>
      <c r="C15" s="7" t="s">
        <v>588</v>
      </c>
      <c r="E15" s="59" t="n">
        <f aca="false">specific_risk_premium_per_mgmt</f>
        <v>0.02</v>
      </c>
      <c r="F15" s="59" t="n">
        <f aca="false">specific_risk_premium_indep</f>
        <v>0.03</v>
      </c>
    </row>
    <row r="16" customFormat="false" ht="15" hidden="false" customHeight="false" outlineLevel="0" collapsed="false">
      <c r="A16" s="47" t="s">
        <v>701</v>
      </c>
      <c r="C16" s="7" t="s">
        <v>588</v>
      </c>
      <c r="E16" s="59" t="n">
        <f aca="false">E11+E10*E12+E13+E14+E15</f>
        <v>0.1573365</v>
      </c>
      <c r="F16" s="59" t="n">
        <f aca="false">F11+F10*F12+F13+F14+F15</f>
        <v>0.181374375</v>
      </c>
    </row>
    <row r="18" customFormat="false" ht="15" hidden="false" customHeight="false" outlineLevel="0" collapsed="false">
      <c r="A18" s="3" t="s">
        <v>702</v>
      </c>
      <c r="B18" s="3"/>
      <c r="C18" s="3"/>
      <c r="D18" s="3"/>
      <c r="E18" s="3"/>
      <c r="F18" s="3"/>
    </row>
    <row r="19" customFormat="false" ht="15" hidden="false" customHeight="false" outlineLevel="0" collapsed="false">
      <c r="A19" s="4" t="s">
        <v>396</v>
      </c>
      <c r="C19" s="7" t="s">
        <v>588</v>
      </c>
      <c r="E19" s="59" t="n">
        <f aca="false">pretax_cost_of_debt_per_mgmt</f>
        <v>0.06</v>
      </c>
      <c r="F19" s="59" t="n">
        <f aca="false">pretax_cost_of_debt_indep</f>
        <v>0.065</v>
      </c>
    </row>
    <row r="20" customFormat="false" ht="15" hidden="false" customHeight="false" outlineLevel="0" collapsed="false">
      <c r="A20" s="47" t="s">
        <v>703</v>
      </c>
      <c r="C20" s="7" t="s">
        <v>588</v>
      </c>
      <c r="E20" s="59" t="n">
        <f aca="false">E19*(1-E7)</f>
        <v>0.0498</v>
      </c>
      <c r="F20" s="59" t="n">
        <f aca="false">F19*(1-F7)</f>
        <v>0.05395</v>
      </c>
    </row>
    <row r="22" customFormat="false" ht="15" hidden="false" customHeight="false" outlineLevel="0" collapsed="false">
      <c r="A22" s="3" t="s">
        <v>704</v>
      </c>
      <c r="B22" s="3"/>
      <c r="C22" s="3"/>
      <c r="D22" s="3"/>
      <c r="E22" s="3"/>
      <c r="F22" s="3"/>
    </row>
    <row r="23" customFormat="false" ht="15" hidden="false" customHeight="false" outlineLevel="0" collapsed="false">
      <c r="A23" s="4" t="s">
        <v>400</v>
      </c>
      <c r="C23" s="7" t="s">
        <v>588</v>
      </c>
      <c r="E23" s="59" t="n">
        <f aca="false">target_debt_weight_per_mgmt</f>
        <v>0.17</v>
      </c>
      <c r="F23" s="59" t="n">
        <f aca="false">target_debt_weight_indep</f>
        <v>0.2</v>
      </c>
    </row>
    <row r="24" customFormat="false" ht="15" hidden="false" customHeight="false" outlineLevel="0" collapsed="false">
      <c r="A24" s="4" t="s">
        <v>402</v>
      </c>
      <c r="C24" s="7" t="s">
        <v>588</v>
      </c>
      <c r="E24" s="59" t="n">
        <f aca="false">target_equity_weight_per_mgmt</f>
        <v>0.83</v>
      </c>
      <c r="F24" s="59" t="n">
        <f aca="false">target_equity_weight_indep</f>
        <v>0.8</v>
      </c>
    </row>
    <row r="25" customFormat="false" ht="15" hidden="false" customHeight="false" outlineLevel="0" collapsed="false">
      <c r="A25" s="47" t="s">
        <v>705</v>
      </c>
      <c r="C25" s="7" t="s">
        <v>588</v>
      </c>
      <c r="E25" s="59" t="n">
        <f aca="false">E16*E24+E20*E23</f>
        <v>0.139055295</v>
      </c>
      <c r="F25" s="59" t="n">
        <f aca="false">F16*F24+F20*F23</f>
        <v>0.1558895</v>
      </c>
    </row>
  </sheetData>
  <mergeCells count="5">
    <mergeCell ref="A1:H1"/>
    <mergeCell ref="A2:F2"/>
    <mergeCell ref="A6:F6"/>
    <mergeCell ref="A18:F18"/>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14"/>
    <col collapsed="false" customWidth="true" hidden="false" outlineLevel="0" max="3" min="3" style="0" width="24"/>
    <col collapsed="false" customWidth="true" hidden="false" outlineLevel="0" max="4" min="4" style="0" width="14"/>
    <col collapsed="false" customWidth="true" hidden="false" outlineLevel="0" max="5" min="5" style="0" width="40"/>
    <col collapsed="false" customWidth="true" hidden="false" outlineLevel="0" max="12" min="6" style="0" width="14"/>
  </cols>
  <sheetData>
    <row r="1" customFormat="false" ht="21.75" hidden="false" customHeight="true" outlineLevel="0" collapsed="false">
      <c r="A1" s="1" t="s">
        <v>706</v>
      </c>
      <c r="B1" s="1"/>
      <c r="C1" s="1"/>
      <c r="D1" s="1"/>
      <c r="E1" s="1"/>
      <c r="F1" s="1"/>
      <c r="G1" s="1"/>
      <c r="H1" s="1"/>
    </row>
    <row r="2" customFormat="false" ht="15" hidden="false" customHeight="false" outlineLevel="0" collapsed="false">
      <c r="A2" s="2" t="s">
        <v>707</v>
      </c>
      <c r="B2" s="2"/>
      <c r="C2" s="2"/>
      <c r="D2" s="2"/>
      <c r="E2" s="2"/>
      <c r="F2" s="2"/>
      <c r="G2" s="2"/>
      <c r="H2" s="2"/>
      <c r="I2" s="2"/>
      <c r="J2" s="2"/>
      <c r="K2" s="2"/>
      <c r="L2" s="2"/>
    </row>
    <row r="4" customFormat="false" ht="39.55" hidden="false" customHeight="false" outlineLevel="0" collapsed="false">
      <c r="A4" s="22" t="s">
        <v>470</v>
      </c>
      <c r="B4" s="22" t="s">
        <v>471</v>
      </c>
      <c r="C4" s="22" t="s">
        <v>3</v>
      </c>
      <c r="D4" s="22" t="s">
        <v>472</v>
      </c>
      <c r="E4" s="22" t="s">
        <v>473</v>
      </c>
      <c r="F4" s="22" t="s">
        <v>474</v>
      </c>
      <c r="G4" s="22" t="s">
        <v>8</v>
      </c>
      <c r="H4" s="22" t="s">
        <v>475</v>
      </c>
      <c r="I4" s="22" t="s">
        <v>476</v>
      </c>
      <c r="J4" s="22" t="s">
        <v>477</v>
      </c>
      <c r="K4" s="22" t="s">
        <v>478</v>
      </c>
      <c r="L4" s="22" t="s">
        <v>479</v>
      </c>
    </row>
    <row r="6" customFormat="false" ht="15" hidden="false" customHeight="false" outlineLevel="0" collapsed="false">
      <c r="A6" s="34" t="str">
        <f aca="false">Inputs!A127</f>
        <v>selected_mid</v>
      </c>
      <c r="B6" s="34" t="str">
        <f aca="false">Inputs!B127</f>
        <v>Selected valuation mid</v>
      </c>
      <c r="C6" s="34" t="str">
        <f aca="false">Inputs!C127</f>
        <v>currency</v>
      </c>
      <c r="D6" s="34" t="n">
        <f aca="false">Inputs!D127</f>
        <v>0</v>
      </c>
      <c r="E6" s="34" t="n">
        <f aca="false">Inputs!E127</f>
        <v>0</v>
      </c>
      <c r="F6" s="34" t="n">
        <f aca="false">Inputs!F127</f>
        <v>0</v>
      </c>
      <c r="G6" s="34" t="n">
        <f aca="false">Inputs!G127</f>
        <v>0</v>
      </c>
      <c r="H6" s="34" t="n">
        <f aca="false">Inputs!H127</f>
        <v>0</v>
      </c>
      <c r="I6" s="34" t="n">
        <f aca="false">Inputs!I127</f>
        <v>0</v>
      </c>
      <c r="J6" s="34" t="n">
        <f aca="false">Inputs!J127</f>
        <v>0</v>
      </c>
      <c r="K6" s="34" t="n">
        <f aca="false">Inputs!K127</f>
        <v>0</v>
      </c>
      <c r="L6" s="34" t="n">
        <f aca="false">IFERROR(Inputs!J127/(1+(1-Inputs!K127)*Inputs!I127),"")</f>
        <v>0</v>
      </c>
    </row>
    <row r="7" customFormat="false" ht="15" hidden="false" customHeight="false" outlineLevel="0" collapsed="false">
      <c r="A7" s="34" t="str">
        <f aca="false">Inputs!A128</f>
        <v>selected_high</v>
      </c>
      <c r="B7" s="34" t="str">
        <f aca="false">Inputs!B128</f>
        <v>Selected valuation high</v>
      </c>
      <c r="C7" s="34" t="str">
        <f aca="false">Inputs!C128</f>
        <v>currency</v>
      </c>
      <c r="D7" s="34" t="n">
        <f aca="false">Inputs!D128</f>
        <v>0</v>
      </c>
      <c r="E7" s="34" t="n">
        <f aca="false">Inputs!E128</f>
        <v>0</v>
      </c>
      <c r="F7" s="34" t="n">
        <f aca="false">Inputs!F128</f>
        <v>0</v>
      </c>
      <c r="G7" s="34" t="n">
        <f aca="false">Inputs!G128</f>
        <v>0</v>
      </c>
      <c r="H7" s="34" t="n">
        <f aca="false">Inputs!H128</f>
        <v>0</v>
      </c>
      <c r="I7" s="34" t="n">
        <f aca="false">Inputs!I128</f>
        <v>0</v>
      </c>
      <c r="J7" s="34" t="n">
        <f aca="false">Inputs!J128</f>
        <v>0</v>
      </c>
      <c r="K7" s="34" t="n">
        <f aca="false">Inputs!K128</f>
        <v>0</v>
      </c>
      <c r="L7" s="34" t="n">
        <f aca="false">IFERROR(Inputs!J128/(1+(1-Inputs!K128)*Inputs!I128),"")</f>
        <v>0</v>
      </c>
    </row>
    <row r="8" customFormat="false" ht="15" hidden="false" customHeight="false" outlineLevel="0" collapsed="false">
      <c r="A8" s="34" t="n">
        <f aca="false">Inputs!A129</f>
        <v>0</v>
      </c>
      <c r="B8" s="34" t="n">
        <f aca="false">Inputs!B129</f>
        <v>0</v>
      </c>
      <c r="C8" s="34" t="n">
        <f aca="false">Inputs!C129</f>
        <v>0</v>
      </c>
      <c r="D8" s="34" t="n">
        <f aca="false">Inputs!D129</f>
        <v>0</v>
      </c>
      <c r="E8" s="34" t="n">
        <f aca="false">Inputs!E129</f>
        <v>0</v>
      </c>
      <c r="F8" s="34" t="n">
        <f aca="false">Inputs!F129</f>
        <v>0</v>
      </c>
      <c r="G8" s="34" t="n">
        <f aca="false">Inputs!G129</f>
        <v>0</v>
      </c>
      <c r="H8" s="34" t="n">
        <f aca="false">Inputs!H129</f>
        <v>0</v>
      </c>
      <c r="I8" s="34" t="n">
        <f aca="false">Inputs!I129</f>
        <v>0</v>
      </c>
      <c r="J8" s="34" t="n">
        <f aca="false">Inputs!J129</f>
        <v>0</v>
      </c>
      <c r="K8" s="34" t="n">
        <f aca="false">Inputs!K129</f>
        <v>0</v>
      </c>
      <c r="L8" s="34" t="n">
        <f aca="false">IFERROR(Inputs!J129/(1+(1-Inputs!K129)*Inputs!I129),"")</f>
        <v>0</v>
      </c>
    </row>
    <row r="9" customFormat="false" ht="15" hidden="false" customHeight="false" outlineLevel="0" collapsed="false">
      <c r="A9" s="34" t="str">
        <f aca="false">Inputs!A130</f>
        <v>Section L — Sensitivity ranges  (Extended)</v>
      </c>
      <c r="B9" s="34" t="n">
        <f aca="false">Inputs!B130</f>
        <v>0</v>
      </c>
      <c r="C9" s="34" t="n">
        <f aca="false">Inputs!C130</f>
        <v>0</v>
      </c>
      <c r="D9" s="34" t="n">
        <f aca="false">Inputs!D130</f>
        <v>0</v>
      </c>
      <c r="E9" s="34" t="n">
        <f aca="false">Inputs!E130</f>
        <v>0</v>
      </c>
      <c r="F9" s="34" t="n">
        <f aca="false">Inputs!F130</f>
        <v>0</v>
      </c>
      <c r="G9" s="34" t="n">
        <f aca="false">Inputs!G130</f>
        <v>0</v>
      </c>
      <c r="H9" s="34" t="n">
        <f aca="false">Inputs!H130</f>
        <v>0</v>
      </c>
      <c r="I9" s="34" t="n">
        <f aca="false">Inputs!I130</f>
        <v>0</v>
      </c>
      <c r="J9" s="34" t="n">
        <f aca="false">Inputs!J130</f>
        <v>0</v>
      </c>
      <c r="K9" s="34" t="n">
        <f aca="false">Inputs!K130</f>
        <v>0</v>
      </c>
      <c r="L9" s="34" t="n">
        <f aca="false">IFERROR(Inputs!J130/(1+(1-Inputs!K130)*Inputs!I130),"")</f>
        <v>0</v>
      </c>
    </row>
    <row r="10" customFormat="false" ht="15" hidden="false" customHeight="false" outlineLevel="0" collapsed="false">
      <c r="A10" s="34" t="str">
        <f aca="false">Inputs!A131</f>
        <v>sens_wacc_step</v>
      </c>
      <c r="B10" s="34" t="str">
        <f aca="false">Inputs!B131</f>
        <v>WACC sensitivity step</v>
      </c>
      <c r="C10" s="34" t="str">
        <f aca="false">Inputs!C131</f>
        <v>percentage</v>
      </c>
      <c r="D10" s="34" t="n">
        <f aca="false">Inputs!D131</f>
        <v>0.005</v>
      </c>
      <c r="E10" s="34" t="n">
        <f aca="false">Inputs!E131</f>
        <v>0</v>
      </c>
      <c r="F10" s="34" t="n">
        <f aca="false">Inputs!F131</f>
        <v>0</v>
      </c>
      <c r="G10" s="34" t="n">
        <f aca="false">Inputs!G131</f>
        <v>0</v>
      </c>
      <c r="H10" s="34" t="n">
        <f aca="false">Inputs!H131</f>
        <v>0</v>
      </c>
      <c r="I10" s="34" t="n">
        <f aca="false">Inputs!I131</f>
        <v>0</v>
      </c>
      <c r="J10" s="34" t="n">
        <f aca="false">Inputs!J131</f>
        <v>0</v>
      </c>
      <c r="K10" s="34" t="n">
        <f aca="false">Inputs!K131</f>
        <v>0</v>
      </c>
      <c r="L10" s="34" t="n">
        <f aca="false">IFERROR(Inputs!J131/(1+(1-Inputs!K131)*Inputs!I131),"")</f>
        <v>0</v>
      </c>
    </row>
    <row r="11" customFormat="false" ht="15" hidden="false" customHeight="false" outlineLevel="0" collapsed="false">
      <c r="A11" s="34" t="str">
        <f aca="false">Inputs!A132</f>
        <v>sens_wacc_count</v>
      </c>
      <c r="B11" s="34" t="str">
        <f aca="false">Inputs!B132</f>
        <v>WACC steps each side of base</v>
      </c>
      <c r="C11" s="34" t="str">
        <f aca="false">Inputs!C132</f>
        <v>number</v>
      </c>
      <c r="D11" s="34" t="n">
        <f aca="false">Inputs!D132</f>
        <v>5</v>
      </c>
      <c r="E11" s="34" t="n">
        <f aca="false">Inputs!E132</f>
        <v>0</v>
      </c>
      <c r="F11" s="34" t="n">
        <f aca="false">Inputs!F132</f>
        <v>0</v>
      </c>
      <c r="G11" s="34" t="n">
        <f aca="false">Inputs!G132</f>
        <v>0</v>
      </c>
      <c r="H11" s="34" t="n">
        <f aca="false">Inputs!H132</f>
        <v>0</v>
      </c>
      <c r="I11" s="34" t="n">
        <f aca="false">Inputs!I132</f>
        <v>0</v>
      </c>
      <c r="J11" s="34" t="n">
        <f aca="false">Inputs!J132</f>
        <v>0</v>
      </c>
      <c r="K11" s="34" t="n">
        <f aca="false">Inputs!K132</f>
        <v>0</v>
      </c>
      <c r="L11" s="34" t="n">
        <f aca="false">IFERROR(Inputs!J132/(1+(1-Inputs!K132)*Inputs!I132),"")</f>
        <v>0</v>
      </c>
    </row>
    <row r="12" customFormat="false" ht="15" hidden="false" customHeight="false" outlineLevel="0" collapsed="false">
      <c r="A12" s="34" t="str">
        <f aca="false">Inputs!A133</f>
        <v>sens_terminal_g_step</v>
      </c>
      <c r="B12" s="34" t="str">
        <f aca="false">Inputs!B133</f>
        <v>Terminal g sensitivity step</v>
      </c>
      <c r="C12" s="34" t="str">
        <f aca="false">Inputs!C133</f>
        <v>percentage</v>
      </c>
      <c r="D12" s="34" t="n">
        <f aca="false">Inputs!D133</f>
        <v>0.005</v>
      </c>
      <c r="E12" s="34" t="n">
        <f aca="false">Inputs!E133</f>
        <v>0</v>
      </c>
      <c r="F12" s="34" t="n">
        <f aca="false">Inputs!F133</f>
        <v>0</v>
      </c>
      <c r="G12" s="34" t="n">
        <f aca="false">Inputs!G133</f>
        <v>0</v>
      </c>
      <c r="H12" s="34" t="n">
        <f aca="false">Inputs!H133</f>
        <v>0</v>
      </c>
      <c r="I12" s="34" t="n">
        <f aca="false">Inputs!I133</f>
        <v>0</v>
      </c>
      <c r="J12" s="34" t="n">
        <f aca="false">Inputs!J133</f>
        <v>0</v>
      </c>
      <c r="K12" s="34" t="n">
        <f aca="false">Inputs!K133</f>
        <v>0</v>
      </c>
      <c r="L12" s="34" t="n">
        <f aca="false">IFERROR(Inputs!J133/(1+(1-Inputs!K133)*Inputs!I133),"")</f>
        <v>0</v>
      </c>
    </row>
    <row r="13" customFormat="false" ht="15" hidden="false" customHeight="false" outlineLevel="0" collapsed="false">
      <c r="A13" s="34" t="str">
        <f aca="false">Inputs!A134</f>
        <v>sens_terminal_g_count</v>
      </c>
      <c r="B13" s="34" t="str">
        <f aca="false">Inputs!B134</f>
        <v>Terminal g steps each side</v>
      </c>
      <c r="C13" s="34" t="str">
        <f aca="false">Inputs!C134</f>
        <v>number</v>
      </c>
      <c r="D13" s="34" t="n">
        <f aca="false">Inputs!D134</f>
        <v>5</v>
      </c>
      <c r="E13" s="34" t="n">
        <f aca="false">Inputs!E134</f>
        <v>0</v>
      </c>
      <c r="F13" s="34" t="n">
        <f aca="false">Inputs!F134</f>
        <v>0</v>
      </c>
      <c r="G13" s="34" t="n">
        <f aca="false">Inputs!G134</f>
        <v>0</v>
      </c>
      <c r="H13" s="34" t="n">
        <f aca="false">Inputs!H134</f>
        <v>0</v>
      </c>
      <c r="I13" s="34" t="n">
        <f aca="false">Inputs!I134</f>
        <v>0</v>
      </c>
      <c r="J13" s="34" t="n">
        <f aca="false">Inputs!J134</f>
        <v>0</v>
      </c>
      <c r="K13" s="34" t="n">
        <f aca="false">Inputs!K134</f>
        <v>0</v>
      </c>
      <c r="L13" s="34" t="n">
        <f aca="false">IFERROR(Inputs!J134/(1+(1-Inputs!K134)*Inputs!I134),"")</f>
        <v>0</v>
      </c>
    </row>
    <row r="14" customFormat="false" ht="15" hidden="false" customHeight="false" outlineLevel="0" collapsed="false">
      <c r="A14" s="34" t="str">
        <f aca="false">Inputs!A135</f>
        <v>sens_revenue_g_step</v>
      </c>
      <c r="B14" s="34" t="str">
        <f aca="false">Inputs!B135</f>
        <v>Revenue growth sens step</v>
      </c>
      <c r="C14" s="34" t="str">
        <f aca="false">Inputs!C135</f>
        <v>percentage</v>
      </c>
      <c r="D14" s="34" t="n">
        <f aca="false">Inputs!D135</f>
        <v>0.02</v>
      </c>
      <c r="E14" s="34" t="n">
        <f aca="false">Inputs!E135</f>
        <v>0</v>
      </c>
      <c r="F14" s="34" t="n">
        <f aca="false">Inputs!F135</f>
        <v>0</v>
      </c>
      <c r="G14" s="34" t="n">
        <f aca="false">Inputs!G135</f>
        <v>0</v>
      </c>
      <c r="H14" s="34" t="n">
        <f aca="false">Inputs!H135</f>
        <v>0</v>
      </c>
      <c r="I14" s="34" t="n">
        <f aca="false">Inputs!I135</f>
        <v>0</v>
      </c>
      <c r="J14" s="34" t="n">
        <f aca="false">Inputs!J135</f>
        <v>0</v>
      </c>
      <c r="K14" s="34" t="n">
        <f aca="false">Inputs!K135</f>
        <v>0</v>
      </c>
      <c r="L14" s="34" t="n">
        <f aca="false">IFERROR(Inputs!J135/(1+(1-Inputs!K135)*Inputs!I135),"")</f>
        <v>0</v>
      </c>
    </row>
    <row r="15" customFormat="false" ht="15" hidden="false" customHeight="false" outlineLevel="0" collapsed="false">
      <c r="A15" s="34" t="str">
        <f aca="false">Inputs!A136</f>
        <v>sens_ebitda_margin_step</v>
      </c>
      <c r="B15" s="34" t="str">
        <f aca="false">Inputs!B136</f>
        <v>EBITDA margin sens step</v>
      </c>
      <c r="C15" s="34" t="str">
        <f aca="false">Inputs!C136</f>
        <v>percentage</v>
      </c>
      <c r="D15" s="34" t="n">
        <f aca="false">Inputs!D136</f>
        <v>0.02</v>
      </c>
      <c r="E15" s="34" t="n">
        <f aca="false">Inputs!E136</f>
        <v>0</v>
      </c>
      <c r="F15" s="34" t="n">
        <f aca="false">Inputs!F136</f>
        <v>0</v>
      </c>
      <c r="G15" s="34" t="n">
        <f aca="false">Inputs!G136</f>
        <v>0</v>
      </c>
      <c r="H15" s="34" t="n">
        <f aca="false">Inputs!H136</f>
        <v>0</v>
      </c>
      <c r="I15" s="34" t="n">
        <f aca="false">Inputs!I136</f>
        <v>0</v>
      </c>
      <c r="J15" s="34" t="n">
        <f aca="false">Inputs!J136</f>
        <v>0</v>
      </c>
      <c r="K15" s="34" t="n">
        <f aca="false">Inputs!K136</f>
        <v>0</v>
      </c>
      <c r="L15" s="34" t="n">
        <f aca="false">IFERROR(Inputs!J136/(1+(1-Inputs!K136)*Inputs!I136),"")</f>
        <v>0</v>
      </c>
    </row>
    <row r="16" customFormat="false" ht="15" hidden="false" customHeight="false" outlineLevel="0" collapsed="false">
      <c r="A16" s="34" t="n">
        <f aca="false">Inputs!A137</f>
        <v>0</v>
      </c>
      <c r="B16" s="34" t="n">
        <f aca="false">Inputs!B137</f>
        <v>0</v>
      </c>
      <c r="C16" s="34" t="n">
        <f aca="false">Inputs!C137</f>
        <v>0</v>
      </c>
      <c r="D16" s="34" t="n">
        <f aca="false">Inputs!D137</f>
        <v>0</v>
      </c>
      <c r="E16" s="34" t="n">
        <f aca="false">Inputs!E137</f>
        <v>0</v>
      </c>
      <c r="F16" s="34" t="n">
        <f aca="false">Inputs!F137</f>
        <v>0</v>
      </c>
      <c r="G16" s="34" t="n">
        <f aca="false">Inputs!G137</f>
        <v>0</v>
      </c>
      <c r="H16" s="34" t="n">
        <f aca="false">Inputs!H137</f>
        <v>0</v>
      </c>
      <c r="I16" s="34" t="n">
        <f aca="false">Inputs!I137</f>
        <v>0</v>
      </c>
      <c r="J16" s="34" t="n">
        <f aca="false">Inputs!J137</f>
        <v>0</v>
      </c>
      <c r="K16" s="34" t="n">
        <f aca="false">Inputs!K137</f>
        <v>0</v>
      </c>
      <c r="L16" s="34" t="n">
        <f aca="false">IFERROR(Inputs!J137/(1+(1-Inputs!K137)*Inputs!I137),"")</f>
        <v>0</v>
      </c>
    </row>
    <row r="17" customFormat="false" ht="15" hidden="false" customHeight="false" outlineLevel="0" collapsed="false">
      <c r="A17" s="34" t="str">
        <f aca="false">Inputs!A138</f>
        <v>Section G — Comparable companies table  (Core)</v>
      </c>
      <c r="B17" s="34" t="n">
        <f aca="false">Inputs!B138</f>
        <v>0</v>
      </c>
      <c r="C17" s="34" t="n">
        <f aca="false">Inputs!C138</f>
        <v>0</v>
      </c>
      <c r="D17" s="34" t="n">
        <f aca="false">Inputs!D138</f>
        <v>0</v>
      </c>
      <c r="E17" s="34" t="n">
        <f aca="false">Inputs!E138</f>
        <v>0</v>
      </c>
      <c r="F17" s="34" t="n">
        <f aca="false">Inputs!F138</f>
        <v>0</v>
      </c>
      <c r="G17" s="34" t="n">
        <f aca="false">Inputs!G138</f>
        <v>0</v>
      </c>
      <c r="H17" s="34" t="n">
        <f aca="false">Inputs!H138</f>
        <v>0</v>
      </c>
      <c r="I17" s="34" t="n">
        <f aca="false">Inputs!I138</f>
        <v>0</v>
      </c>
      <c r="J17" s="34" t="n">
        <f aca="false">Inputs!J138</f>
        <v>0</v>
      </c>
      <c r="K17" s="34" t="n">
        <f aca="false">Inputs!K138</f>
        <v>0</v>
      </c>
      <c r="L17" s="34" t="n">
        <f aca="false">IFERROR(Inputs!J138/(1+(1-Inputs!K138)*Inputs!I138),"")</f>
        <v>0</v>
      </c>
    </row>
    <row r="18" customFormat="false" ht="15" hidden="false" customHeight="false" outlineLevel="0" collapsed="false">
      <c r="A18" s="34" t="str">
        <f aca="false">Inputs!A139</f>
        <v>Tier</v>
      </c>
      <c r="B18" s="34" t="str">
        <f aca="false">Inputs!B139</f>
        <v>Include</v>
      </c>
      <c r="C18" s="34" t="str">
        <f aca="false">Inputs!C139</f>
        <v>Company</v>
      </c>
      <c r="D18" s="34" t="str">
        <f aca="false">Inputs!D139</f>
        <v>Ticker</v>
      </c>
      <c r="E18" s="34" t="str">
        <f aca="false">Inputs!E139</f>
        <v>Business description</v>
      </c>
      <c r="F18" s="34" t="str">
        <f aca="false">Inputs!F139</f>
        <v>Country</v>
      </c>
      <c r="G18" s="34" t="str">
        <f aca="false">Inputs!G139</f>
        <v>Accounting standard</v>
      </c>
      <c r="H18" s="34" t="str">
        <f aca="false">Inputs!H139</f>
        <v>Market cap (USD mm)</v>
      </c>
      <c r="I18" s="34" t="str">
        <f aca="false">Inputs!I139</f>
        <v>D/E ratio</v>
      </c>
      <c r="J18" s="34" t="str">
        <f aca="false">Inputs!J139</f>
        <v>Raw levered beta</v>
      </c>
      <c r="K18" s="34" t="str">
        <f aca="false">Inputs!K139</f>
        <v>Effective tax rate</v>
      </c>
      <c r="L18" s="34" t="str">
        <f aca="false">IFERROR(Inputs!J139/(1+(1-Inputs!K139)*Inputs!I139),"")</f>
        <v/>
      </c>
    </row>
    <row r="19" customFormat="false" ht="15" hidden="false" customHeight="false" outlineLevel="0" collapsed="false">
      <c r="A19" s="34" t="n">
        <f aca="false">Inputs!A140</f>
        <v>1</v>
      </c>
      <c r="B19" s="40" t="b">
        <f aca="false">Inputs!B140</f>
        <v>1</v>
      </c>
      <c r="C19" s="34" t="str">
        <f aca="false">Inputs!C140</f>
        <v>Atlassian</v>
      </c>
      <c r="D19" s="34" t="str">
        <f aca="false">Inputs!D140</f>
        <v>NASDAQ:TEAM</v>
      </c>
      <c r="E19" s="34" t="str">
        <f aca="false">Inputs!E140</f>
        <v>Team collaboration and productivity software (Jira, Confluence)</v>
      </c>
      <c r="F19" s="34" t="str">
        <f aca="false">Inputs!F140</f>
        <v>AU</v>
      </c>
      <c r="G19" s="34" t="str">
        <f aca="false">Inputs!G140</f>
        <v>US GAAP</v>
      </c>
      <c r="H19" s="34" t="n">
        <f aca="false">Inputs!H140</f>
        <v>50000</v>
      </c>
      <c r="I19" s="34" t="n">
        <f aca="false">Inputs!I140</f>
        <v>0.05</v>
      </c>
      <c r="J19" s="34" t="n">
        <f aca="false">Inputs!J140</f>
        <v>1.2</v>
      </c>
      <c r="K19" s="34" t="n">
        <f aca="false">Inputs!K140</f>
        <v>0.21</v>
      </c>
      <c r="L19" s="34" t="n">
        <f aca="false">IFERROR(Inputs!J140/(1+(1-Inputs!K140)*Inputs!I140),"")</f>
        <v>1.15440115440115</v>
      </c>
    </row>
    <row r="20" customFormat="false" ht="15" hidden="false" customHeight="false" outlineLevel="0" collapsed="false">
      <c r="A20" s="34" t="n">
        <f aca="false">Inputs!A141</f>
        <v>1</v>
      </c>
      <c r="B20" s="40" t="b">
        <f aca="false">Inputs!B141</f>
        <v>1</v>
      </c>
      <c r="C20" s="34" t="str">
        <f aca="false">Inputs!C141</f>
        <v>Datadog</v>
      </c>
      <c r="D20" s="34" t="str">
        <f aca="false">Inputs!D141</f>
        <v>NASDAQ:DDOG</v>
      </c>
      <c r="E20" s="34" t="str">
        <f aca="false">Inputs!E141</f>
        <v>Cloud observability and monitoring platform</v>
      </c>
      <c r="F20" s="34" t="str">
        <f aca="false">Inputs!F141</f>
        <v>US</v>
      </c>
      <c r="G20" s="34" t="str">
        <f aca="false">Inputs!G141</f>
        <v>US GAAP</v>
      </c>
      <c r="H20" s="34" t="n">
        <f aca="false">Inputs!H141</f>
        <v>38000</v>
      </c>
      <c r="I20" s="34" t="n">
        <f aca="false">Inputs!I141</f>
        <v>0.1</v>
      </c>
      <c r="J20" s="34" t="n">
        <f aca="false">Inputs!J141</f>
        <v>1.3</v>
      </c>
      <c r="K20" s="34" t="n">
        <f aca="false">Inputs!K141</f>
        <v>0.21</v>
      </c>
      <c r="L20" s="34" t="n">
        <f aca="false">IFERROR(Inputs!J141/(1+(1-Inputs!K141)*Inputs!I141),"")</f>
        <v>1.20481927710843</v>
      </c>
    </row>
    <row r="21" customFormat="false" ht="15" hidden="false" customHeight="false" outlineLevel="0" collapsed="false">
      <c r="A21" s="34" t="n">
        <f aca="false">Inputs!A142</f>
        <v>2</v>
      </c>
      <c r="B21" s="40" t="b">
        <f aca="false">Inputs!B142</f>
        <v>1</v>
      </c>
      <c r="C21" s="34" t="str">
        <f aca="false">Inputs!C142</f>
        <v>MongoDB</v>
      </c>
      <c r="D21" s="34" t="str">
        <f aca="false">Inputs!D142</f>
        <v>NASDAQ:MDB</v>
      </c>
      <c r="E21" s="34" t="str">
        <f aca="false">Inputs!E142</f>
        <v>Document-oriented NoSQL database (Atlas managed service)</v>
      </c>
      <c r="F21" s="34" t="str">
        <f aca="false">Inputs!F142</f>
        <v>US</v>
      </c>
      <c r="G21" s="34" t="str">
        <f aca="false">Inputs!G142</f>
        <v>US GAAP</v>
      </c>
      <c r="H21" s="34" t="n">
        <f aca="false">Inputs!H142</f>
        <v>22000</v>
      </c>
      <c r="I21" s="34" t="n">
        <f aca="false">Inputs!I142</f>
        <v>0.08</v>
      </c>
      <c r="J21" s="34" t="n">
        <f aca="false">Inputs!J142</f>
        <v>1.25</v>
      </c>
      <c r="K21" s="34" t="n">
        <f aca="false">Inputs!K142</f>
        <v>0.21</v>
      </c>
      <c r="L21" s="34" t="n">
        <f aca="false">IFERROR(Inputs!J142/(1+(1-Inputs!K142)*Inputs!I142),"")</f>
        <v>1.17569601203913</v>
      </c>
    </row>
    <row r="22" customFormat="false" ht="15" hidden="false" customHeight="false" outlineLevel="0" collapsed="false">
      <c r="A22" s="34" t="n">
        <f aca="false">Inputs!A143</f>
        <v>3</v>
      </c>
      <c r="B22" s="40" t="b">
        <f aca="false">Inputs!B143</f>
        <v>1</v>
      </c>
      <c r="C22" s="34" t="str">
        <f aca="false">Inputs!C143</f>
        <v>Box</v>
      </c>
      <c r="D22" s="34" t="str">
        <f aca="false">Inputs!D143</f>
        <v>NASDAQ:BOX</v>
      </c>
      <c r="E22" s="34" t="str">
        <f aca="false">Inputs!E143</f>
        <v>Cloud content management and file sharing for enterprise</v>
      </c>
      <c r="F22" s="34" t="str">
        <f aca="false">Inputs!F143</f>
        <v>US</v>
      </c>
      <c r="G22" s="34" t="str">
        <f aca="false">Inputs!G143</f>
        <v>US GAAP</v>
      </c>
      <c r="H22" s="34" t="n">
        <f aca="false">Inputs!H143</f>
        <v>4500</v>
      </c>
      <c r="I22" s="34" t="n">
        <f aca="false">Inputs!I143</f>
        <v>0.35</v>
      </c>
      <c r="J22" s="34" t="n">
        <f aca="false">Inputs!J143</f>
        <v>1.1</v>
      </c>
      <c r="K22" s="34" t="n">
        <f aca="false">Inputs!K143</f>
        <v>0.21</v>
      </c>
      <c r="L22" s="34" t="n">
        <f aca="false">IFERROR(Inputs!J143/(1+(1-Inputs!K143)*Inputs!I143),"")</f>
        <v>0.861731296513905</v>
      </c>
    </row>
    <row r="23" customFormat="false" ht="15" hidden="false" customHeight="false" outlineLevel="0" collapsed="false">
      <c r="A23" s="34" t="n">
        <f aca="false">Inputs!A144</f>
        <v>0</v>
      </c>
      <c r="B23" s="34" t="n">
        <f aca="false">Inputs!B144</f>
        <v>0</v>
      </c>
      <c r="C23" s="34" t="n">
        <f aca="false">Inputs!C144</f>
        <v>0</v>
      </c>
      <c r="D23" s="34" t="n">
        <f aca="false">Inputs!D144</f>
        <v>0</v>
      </c>
      <c r="E23" s="34" t="n">
        <f aca="false">Inputs!E144</f>
        <v>0</v>
      </c>
      <c r="F23" s="34" t="n">
        <f aca="false">Inputs!F144</f>
        <v>0</v>
      </c>
      <c r="G23" s="34" t="n">
        <f aca="false">Inputs!G144</f>
        <v>0</v>
      </c>
      <c r="H23" s="34" t="n">
        <f aca="false">Inputs!H144</f>
        <v>0</v>
      </c>
      <c r="I23" s="34" t="n">
        <f aca="false">Inputs!I144</f>
        <v>0</v>
      </c>
      <c r="J23" s="34" t="n">
        <f aca="false">Inputs!J144</f>
        <v>0</v>
      </c>
      <c r="K23" s="34" t="n">
        <f aca="false">Inputs!K144</f>
        <v>0</v>
      </c>
      <c r="L23" s="34" t="n">
        <f aca="false">IFERROR(Inputs!J144/(1+(1-Inputs!K144)*Inputs!I144),"")</f>
        <v>0</v>
      </c>
    </row>
    <row r="24" customFormat="false" ht="15" hidden="false" customHeight="false" outlineLevel="0" collapsed="false">
      <c r="A24" s="34" t="n">
        <f aca="false">Inputs!A145</f>
        <v>0</v>
      </c>
      <c r="B24" s="34" t="n">
        <f aca="false">Inputs!B145</f>
        <v>0</v>
      </c>
      <c r="C24" s="34" t="n">
        <f aca="false">Inputs!C145</f>
        <v>0</v>
      </c>
      <c r="D24" s="34" t="n">
        <f aca="false">Inputs!D145</f>
        <v>0</v>
      </c>
      <c r="E24" s="34" t="n">
        <f aca="false">Inputs!E145</f>
        <v>0</v>
      </c>
      <c r="F24" s="34" t="n">
        <f aca="false">Inputs!F145</f>
        <v>0</v>
      </c>
      <c r="G24" s="34" t="n">
        <f aca="false">Inputs!G145</f>
        <v>0</v>
      </c>
      <c r="H24" s="34" t="n">
        <f aca="false">Inputs!H145</f>
        <v>0</v>
      </c>
      <c r="I24" s="34" t="n">
        <f aca="false">Inputs!I145</f>
        <v>0</v>
      </c>
      <c r="J24" s="34" t="n">
        <f aca="false">Inputs!J145</f>
        <v>0</v>
      </c>
      <c r="K24" s="34" t="n">
        <f aca="false">Inputs!K145</f>
        <v>0</v>
      </c>
      <c r="L24" s="34" t="n">
        <f aca="false">IFERROR(Inputs!J145/(1+(1-Inputs!K145)*Inputs!I145),"")</f>
        <v>0</v>
      </c>
    </row>
    <row r="25" customFormat="false" ht="15" hidden="false" customHeight="false" outlineLevel="0" collapsed="false">
      <c r="A25" s="34" t="n">
        <f aca="false">Inputs!A146</f>
        <v>0</v>
      </c>
      <c r="B25" s="34" t="n">
        <f aca="false">Inputs!B146</f>
        <v>0</v>
      </c>
      <c r="C25" s="34" t="n">
        <f aca="false">Inputs!C146</f>
        <v>0</v>
      </c>
      <c r="D25" s="34" t="n">
        <f aca="false">Inputs!D146</f>
        <v>0</v>
      </c>
      <c r="E25" s="34" t="n">
        <f aca="false">Inputs!E146</f>
        <v>0</v>
      </c>
      <c r="F25" s="34" t="n">
        <f aca="false">Inputs!F146</f>
        <v>0</v>
      </c>
      <c r="G25" s="34" t="n">
        <f aca="false">Inputs!G146</f>
        <v>0</v>
      </c>
      <c r="H25" s="34" t="n">
        <f aca="false">Inputs!H146</f>
        <v>0</v>
      </c>
      <c r="I25" s="34" t="n">
        <f aca="false">Inputs!I146</f>
        <v>0</v>
      </c>
      <c r="J25" s="34" t="n">
        <f aca="false">Inputs!J146</f>
        <v>0</v>
      </c>
      <c r="K25" s="34" t="n">
        <f aca="false">Inputs!K146</f>
        <v>0</v>
      </c>
      <c r="L25" s="34" t="n">
        <f aca="false">IFERROR(Inputs!J146/(1+(1-Inputs!K146)*Inputs!I146),"")</f>
        <v>0</v>
      </c>
    </row>
    <row r="26" customFormat="false" ht="15" hidden="false" customHeight="false" outlineLevel="0" collapsed="false">
      <c r="A26" s="34" t="n">
        <f aca="false">Inputs!A147</f>
        <v>0</v>
      </c>
      <c r="B26" s="34" t="n">
        <f aca="false">Inputs!B147</f>
        <v>0</v>
      </c>
      <c r="C26" s="34" t="n">
        <f aca="false">Inputs!C147</f>
        <v>0</v>
      </c>
      <c r="D26" s="34" t="n">
        <f aca="false">Inputs!D147</f>
        <v>0</v>
      </c>
      <c r="E26" s="34" t="n">
        <f aca="false">Inputs!E147</f>
        <v>0</v>
      </c>
      <c r="F26" s="34" t="n">
        <f aca="false">Inputs!F147</f>
        <v>0</v>
      </c>
      <c r="G26" s="34" t="n">
        <f aca="false">Inputs!G147</f>
        <v>0</v>
      </c>
      <c r="H26" s="34" t="n">
        <f aca="false">Inputs!H147</f>
        <v>0</v>
      </c>
      <c r="I26" s="34" t="n">
        <f aca="false">Inputs!I147</f>
        <v>0</v>
      </c>
      <c r="J26" s="34" t="n">
        <f aca="false">Inputs!J147</f>
        <v>0</v>
      </c>
      <c r="K26" s="34" t="n">
        <f aca="false">Inputs!K147</f>
        <v>0</v>
      </c>
      <c r="L26" s="34" t="n">
        <f aca="false">IFERROR(Inputs!J147/(1+(1-Inputs!K147)*Inputs!I147),"")</f>
        <v>0</v>
      </c>
    </row>
    <row r="27" customFormat="false" ht="15" hidden="false" customHeight="false" outlineLevel="0" collapsed="false">
      <c r="A27" s="34" t="n">
        <f aca="false">Inputs!A148</f>
        <v>0</v>
      </c>
      <c r="B27" s="34" t="n">
        <f aca="false">Inputs!B148</f>
        <v>0</v>
      </c>
      <c r="C27" s="34" t="n">
        <f aca="false">Inputs!C148</f>
        <v>0</v>
      </c>
      <c r="D27" s="34" t="n">
        <f aca="false">Inputs!D148</f>
        <v>0</v>
      </c>
      <c r="E27" s="34" t="n">
        <f aca="false">Inputs!E148</f>
        <v>0</v>
      </c>
      <c r="F27" s="34" t="n">
        <f aca="false">Inputs!F148</f>
        <v>0</v>
      </c>
      <c r="G27" s="34" t="n">
        <f aca="false">Inputs!G148</f>
        <v>0</v>
      </c>
      <c r="H27" s="34" t="n">
        <f aca="false">Inputs!H148</f>
        <v>0</v>
      </c>
      <c r="I27" s="34" t="n">
        <f aca="false">Inputs!I148</f>
        <v>0</v>
      </c>
      <c r="J27" s="34" t="n">
        <f aca="false">Inputs!J148</f>
        <v>0</v>
      </c>
      <c r="K27" s="34" t="n">
        <f aca="false">Inputs!K148</f>
        <v>0</v>
      </c>
      <c r="L27" s="34" t="n">
        <f aca="false">IFERROR(Inputs!J148/(1+(1-Inputs!K148)*Inputs!I148),"")</f>
        <v>0</v>
      </c>
    </row>
    <row r="28" customFormat="false" ht="15" hidden="false" customHeight="false" outlineLevel="0" collapsed="false">
      <c r="A28" s="34" t="n">
        <f aca="false">Inputs!A149</f>
        <v>0</v>
      </c>
      <c r="B28" s="34" t="n">
        <f aca="false">Inputs!B149</f>
        <v>0</v>
      </c>
      <c r="C28" s="34" t="n">
        <f aca="false">Inputs!C149</f>
        <v>0</v>
      </c>
      <c r="D28" s="34" t="n">
        <f aca="false">Inputs!D149</f>
        <v>0</v>
      </c>
      <c r="E28" s="34" t="n">
        <f aca="false">Inputs!E149</f>
        <v>0</v>
      </c>
      <c r="F28" s="34" t="n">
        <f aca="false">Inputs!F149</f>
        <v>0</v>
      </c>
      <c r="G28" s="34" t="n">
        <f aca="false">Inputs!G149</f>
        <v>0</v>
      </c>
      <c r="H28" s="34" t="n">
        <f aca="false">Inputs!H149</f>
        <v>0</v>
      </c>
      <c r="I28" s="34" t="n">
        <f aca="false">Inputs!I149</f>
        <v>0</v>
      </c>
      <c r="J28" s="34" t="n">
        <f aca="false">Inputs!J149</f>
        <v>0</v>
      </c>
      <c r="K28" s="34" t="n">
        <f aca="false">Inputs!K149</f>
        <v>0</v>
      </c>
      <c r="L28" s="34" t="n">
        <f aca="false">IFERROR(Inputs!J149/(1+(1-Inputs!K149)*Inputs!I149),"")</f>
        <v>0</v>
      </c>
    </row>
    <row r="29" customFormat="false" ht="15" hidden="false" customHeight="false" outlineLevel="0" collapsed="false">
      <c r="A29" s="34" t="n">
        <f aca="false">Inputs!A150</f>
        <v>0</v>
      </c>
      <c r="B29" s="34" t="n">
        <f aca="false">Inputs!B150</f>
        <v>0</v>
      </c>
      <c r="C29" s="34" t="n">
        <f aca="false">Inputs!C150</f>
        <v>0</v>
      </c>
      <c r="D29" s="34" t="n">
        <f aca="false">Inputs!D150</f>
        <v>0</v>
      </c>
      <c r="E29" s="34" t="n">
        <f aca="false">Inputs!E150</f>
        <v>0</v>
      </c>
      <c r="F29" s="34" t="n">
        <f aca="false">Inputs!F150</f>
        <v>0</v>
      </c>
      <c r="G29" s="34" t="n">
        <f aca="false">Inputs!G150</f>
        <v>0</v>
      </c>
      <c r="H29" s="34" t="n">
        <f aca="false">Inputs!H150</f>
        <v>0</v>
      </c>
      <c r="I29" s="34" t="n">
        <f aca="false">Inputs!I150</f>
        <v>0</v>
      </c>
      <c r="J29" s="34" t="n">
        <f aca="false">Inputs!J150</f>
        <v>0</v>
      </c>
      <c r="K29" s="34" t="n">
        <f aca="false">Inputs!K150</f>
        <v>0</v>
      </c>
      <c r="L29" s="34" t="n">
        <f aca="false">IFERROR(Inputs!J150/(1+(1-Inputs!K150)*Inputs!I150),"")</f>
        <v>0</v>
      </c>
    </row>
    <row r="30" customFormat="false" ht="15" hidden="false" customHeight="false" outlineLevel="0" collapsed="false">
      <c r="A30" s="34" t="n">
        <f aca="false">Inputs!A151</f>
        <v>0</v>
      </c>
      <c r="B30" s="34" t="n">
        <f aca="false">Inputs!B151</f>
        <v>0</v>
      </c>
      <c r="C30" s="34" t="n">
        <f aca="false">Inputs!C151</f>
        <v>0</v>
      </c>
      <c r="D30" s="34" t="n">
        <f aca="false">Inputs!D151</f>
        <v>0</v>
      </c>
      <c r="E30" s="34" t="n">
        <f aca="false">Inputs!E151</f>
        <v>0</v>
      </c>
      <c r="F30" s="34" t="n">
        <f aca="false">Inputs!F151</f>
        <v>0</v>
      </c>
      <c r="G30" s="34" t="n">
        <f aca="false">Inputs!G151</f>
        <v>0</v>
      </c>
      <c r="H30" s="34" t="n">
        <f aca="false">Inputs!H151</f>
        <v>0</v>
      </c>
      <c r="I30" s="34" t="n">
        <f aca="false">Inputs!I151</f>
        <v>0</v>
      </c>
      <c r="J30" s="34" t="n">
        <f aca="false">Inputs!J151</f>
        <v>0</v>
      </c>
      <c r="K30" s="34" t="n">
        <f aca="false">Inputs!K151</f>
        <v>0</v>
      </c>
      <c r="L30" s="34" t="n">
        <f aca="false">IFERROR(Inputs!J151/(1+(1-Inputs!K151)*Inputs!I151),"")</f>
        <v>0</v>
      </c>
    </row>
    <row r="31" customFormat="false" ht="15" hidden="false" customHeight="false" outlineLevel="0" collapsed="false">
      <c r="A31" s="34" t="n">
        <f aca="false">Inputs!A152</f>
        <v>0</v>
      </c>
      <c r="B31" s="34" t="n">
        <f aca="false">Inputs!B152</f>
        <v>0</v>
      </c>
      <c r="C31" s="34" t="n">
        <f aca="false">Inputs!C152</f>
        <v>0</v>
      </c>
      <c r="D31" s="34" t="n">
        <f aca="false">Inputs!D152</f>
        <v>0</v>
      </c>
      <c r="E31" s="34" t="n">
        <f aca="false">Inputs!E152</f>
        <v>0</v>
      </c>
      <c r="F31" s="34" t="n">
        <f aca="false">Inputs!F152</f>
        <v>0</v>
      </c>
      <c r="G31" s="34" t="n">
        <f aca="false">Inputs!G152</f>
        <v>0</v>
      </c>
      <c r="H31" s="34" t="n">
        <f aca="false">Inputs!H152</f>
        <v>0</v>
      </c>
      <c r="I31" s="34" t="n">
        <f aca="false">Inputs!I152</f>
        <v>0</v>
      </c>
      <c r="J31" s="34" t="n">
        <f aca="false">Inputs!J152</f>
        <v>0</v>
      </c>
      <c r="K31" s="34" t="n">
        <f aca="false">Inputs!K152</f>
        <v>0</v>
      </c>
      <c r="L31" s="34" t="n">
        <f aca="false">IFERROR(Inputs!J152/(1+(1-Inputs!K152)*Inputs!I152),"")</f>
        <v>0</v>
      </c>
    </row>
    <row r="32" customFormat="false" ht="15" hidden="false" customHeight="false" outlineLevel="0" collapsed="false">
      <c r="A32" s="34" t="n">
        <f aca="false">Inputs!A153</f>
        <v>0</v>
      </c>
      <c r="B32" s="34" t="n">
        <f aca="false">Inputs!B153</f>
        <v>0</v>
      </c>
      <c r="C32" s="34" t="n">
        <f aca="false">Inputs!C153</f>
        <v>0</v>
      </c>
      <c r="D32" s="34" t="n">
        <f aca="false">Inputs!D153</f>
        <v>0</v>
      </c>
      <c r="E32" s="34" t="n">
        <f aca="false">Inputs!E153</f>
        <v>0</v>
      </c>
      <c r="F32" s="34" t="n">
        <f aca="false">Inputs!F153</f>
        <v>0</v>
      </c>
      <c r="G32" s="34" t="n">
        <f aca="false">Inputs!G153</f>
        <v>0</v>
      </c>
      <c r="H32" s="34" t="n">
        <f aca="false">Inputs!H153</f>
        <v>0</v>
      </c>
      <c r="I32" s="34" t="n">
        <f aca="false">Inputs!I153</f>
        <v>0</v>
      </c>
      <c r="J32" s="34" t="n">
        <f aca="false">Inputs!J153</f>
        <v>0</v>
      </c>
      <c r="K32" s="34" t="n">
        <f aca="false">Inputs!K153</f>
        <v>0</v>
      </c>
      <c r="L32" s="34" t="n">
        <f aca="false">IFERROR(Inputs!J153/(1+(1-Inputs!K153)*Inputs!I153),"")</f>
        <v>0</v>
      </c>
    </row>
    <row r="33" customFormat="false" ht="15" hidden="false" customHeight="false" outlineLevel="0" collapsed="false">
      <c r="A33" s="34" t="n">
        <f aca="false">Inputs!A154</f>
        <v>0</v>
      </c>
      <c r="B33" s="34" t="n">
        <f aca="false">Inputs!B154</f>
        <v>0</v>
      </c>
      <c r="C33" s="34" t="n">
        <f aca="false">Inputs!C154</f>
        <v>0</v>
      </c>
      <c r="D33" s="34" t="n">
        <f aca="false">Inputs!D154</f>
        <v>0</v>
      </c>
      <c r="E33" s="34" t="n">
        <f aca="false">Inputs!E154</f>
        <v>0</v>
      </c>
      <c r="F33" s="34" t="n">
        <f aca="false">Inputs!F154</f>
        <v>0</v>
      </c>
      <c r="G33" s="34" t="n">
        <f aca="false">Inputs!G154</f>
        <v>0</v>
      </c>
      <c r="H33" s="34" t="n">
        <f aca="false">Inputs!H154</f>
        <v>0</v>
      </c>
      <c r="I33" s="34" t="n">
        <f aca="false">Inputs!I154</f>
        <v>0</v>
      </c>
      <c r="J33" s="34" t="n">
        <f aca="false">Inputs!J154</f>
        <v>0</v>
      </c>
      <c r="K33" s="34" t="n">
        <f aca="false">Inputs!K154</f>
        <v>0</v>
      </c>
      <c r="L33" s="34" t="n">
        <f aca="false">IFERROR(Inputs!J154/(1+(1-Inputs!K154)*Inputs!I154),"")</f>
        <v>0</v>
      </c>
    </row>
    <row r="34" customFormat="false" ht="15" hidden="false" customHeight="false" outlineLevel="0" collapsed="false">
      <c r="A34" s="34" t="n">
        <f aca="false">Inputs!A155</f>
        <v>0</v>
      </c>
      <c r="B34" s="34" t="n">
        <f aca="false">Inputs!B155</f>
        <v>0</v>
      </c>
      <c r="C34" s="34" t="n">
        <f aca="false">Inputs!C155</f>
        <v>0</v>
      </c>
      <c r="D34" s="34" t="n">
        <f aca="false">Inputs!D155</f>
        <v>0</v>
      </c>
      <c r="E34" s="34" t="n">
        <f aca="false">Inputs!E155</f>
        <v>0</v>
      </c>
      <c r="F34" s="34" t="n">
        <f aca="false">Inputs!F155</f>
        <v>0</v>
      </c>
      <c r="G34" s="34" t="n">
        <f aca="false">Inputs!G155</f>
        <v>0</v>
      </c>
      <c r="H34" s="34" t="n">
        <f aca="false">Inputs!H155</f>
        <v>0</v>
      </c>
      <c r="I34" s="34" t="n">
        <f aca="false">Inputs!I155</f>
        <v>0</v>
      </c>
      <c r="J34" s="34" t="n">
        <f aca="false">Inputs!J155</f>
        <v>0</v>
      </c>
      <c r="K34" s="34" t="n">
        <f aca="false">Inputs!K155</f>
        <v>0</v>
      </c>
      <c r="L34" s="34" t="n">
        <f aca="false">IFERROR(Inputs!J155/(1+(1-Inputs!K155)*Inputs!I155),"")</f>
        <v>0</v>
      </c>
    </row>
    <row r="35" customFormat="false" ht="15" hidden="false" customHeight="false" outlineLevel="0" collapsed="false">
      <c r="A35" s="34" t="n">
        <f aca="false">Inputs!A156</f>
        <v>0</v>
      </c>
      <c r="B35" s="34" t="n">
        <f aca="false">Inputs!B156</f>
        <v>0</v>
      </c>
      <c r="C35" s="34" t="n">
        <f aca="false">Inputs!C156</f>
        <v>0</v>
      </c>
      <c r="D35" s="34" t="n">
        <f aca="false">Inputs!D156</f>
        <v>0</v>
      </c>
      <c r="E35" s="34" t="n">
        <f aca="false">Inputs!E156</f>
        <v>0</v>
      </c>
      <c r="F35" s="34" t="n">
        <f aca="false">Inputs!F156</f>
        <v>0</v>
      </c>
      <c r="G35" s="34" t="n">
        <f aca="false">Inputs!G156</f>
        <v>0</v>
      </c>
      <c r="H35" s="34" t="n">
        <f aca="false">Inputs!H156</f>
        <v>0</v>
      </c>
      <c r="I35" s="34" t="n">
        <f aca="false">Inputs!I156</f>
        <v>0</v>
      </c>
      <c r="J35" s="34" t="n">
        <f aca="false">Inputs!J156</f>
        <v>0</v>
      </c>
      <c r="K35" s="34" t="n">
        <f aca="false">Inputs!K156</f>
        <v>0</v>
      </c>
      <c r="L35" s="34" t="n">
        <f aca="false">IFERROR(Inputs!J156/(1+(1-Inputs!K156)*Inputs!I156),"")</f>
        <v>0</v>
      </c>
    </row>
  </sheetData>
  <mergeCells count="2">
    <mergeCell ref="A1:H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4"/>
    <col collapsed="false" customWidth="true" hidden="false" outlineLevel="0" max="10" min="4" style="0" width="14"/>
  </cols>
  <sheetData>
    <row r="1" customFormat="false" ht="21.75" hidden="false" customHeight="true" outlineLevel="0" collapsed="false">
      <c r="A1" s="1" t="s">
        <v>708</v>
      </c>
      <c r="B1" s="1"/>
      <c r="C1" s="1"/>
      <c r="D1" s="1"/>
      <c r="E1" s="1"/>
      <c r="F1" s="1"/>
      <c r="G1" s="1"/>
      <c r="H1" s="1"/>
    </row>
    <row r="2" customFormat="false" ht="15" hidden="false" customHeight="false" outlineLevel="0" collapsed="false">
      <c r="A2" s="2" t="s">
        <v>709</v>
      </c>
      <c r="B2" s="2"/>
      <c r="C2" s="2"/>
      <c r="D2" s="2"/>
      <c r="E2" s="2"/>
      <c r="F2" s="2"/>
      <c r="G2" s="2"/>
      <c r="H2" s="2"/>
      <c r="I2" s="2"/>
      <c r="J2" s="2"/>
    </row>
    <row r="4" customFormat="false" ht="26.85" hidden="false" customHeight="false" outlineLevel="0" collapsed="false">
      <c r="A4" s="22" t="s">
        <v>470</v>
      </c>
      <c r="B4" s="22" t="s">
        <v>471</v>
      </c>
      <c r="C4" s="22" t="s">
        <v>3</v>
      </c>
      <c r="D4" s="22" t="s">
        <v>472</v>
      </c>
      <c r="E4" s="22" t="s">
        <v>710</v>
      </c>
      <c r="F4" s="22" t="s">
        <v>653</v>
      </c>
      <c r="G4" s="22" t="s">
        <v>711</v>
      </c>
      <c r="H4" s="22" t="s">
        <v>654</v>
      </c>
      <c r="I4" s="22" t="s">
        <v>712</v>
      </c>
      <c r="J4" s="22" t="s">
        <v>713</v>
      </c>
    </row>
    <row r="6" customFormat="false" ht="15" hidden="false" customHeight="false" outlineLevel="0" collapsed="false">
      <c r="A6" s="34" t="str">
        <f aca="false">Inputs!A127</f>
        <v>selected_mid</v>
      </c>
      <c r="B6" s="34" t="str">
        <f aca="false">Inputs!B127</f>
        <v>Selected valuation mid</v>
      </c>
      <c r="C6" s="34" t="str">
        <f aca="false">Inputs!C127</f>
        <v>currency</v>
      </c>
      <c r="D6" s="34" t="n">
        <f aca="false">Inputs!D127</f>
        <v>0</v>
      </c>
      <c r="E6" s="61" t="n">
        <v>4.2</v>
      </c>
      <c r="F6" s="61" t="n">
        <v>3.5</v>
      </c>
      <c r="G6" s="62" t="n">
        <v>18</v>
      </c>
      <c r="H6" s="62" t="n">
        <v>15</v>
      </c>
      <c r="I6" s="62" t="n">
        <v>26</v>
      </c>
      <c r="J6" s="62" t="n">
        <v>22</v>
      </c>
    </row>
    <row r="7" customFormat="false" ht="15" hidden="false" customHeight="false" outlineLevel="0" collapsed="false">
      <c r="A7" s="34" t="str">
        <f aca="false">Inputs!A128</f>
        <v>selected_high</v>
      </c>
      <c r="B7" s="34" t="str">
        <f aca="false">Inputs!B128</f>
        <v>Selected valuation high</v>
      </c>
      <c r="C7" s="34" t="str">
        <f aca="false">Inputs!C128</f>
        <v>currency</v>
      </c>
      <c r="D7" s="34" t="n">
        <f aca="false">Inputs!D128</f>
        <v>0</v>
      </c>
      <c r="E7" s="61" t="n">
        <v>3.8</v>
      </c>
      <c r="F7" s="61" t="n">
        <v>3.2</v>
      </c>
      <c r="G7" s="62" t="n">
        <v>16.5</v>
      </c>
      <c r="H7" s="62" t="n">
        <v>13.5</v>
      </c>
      <c r="I7" s="62" t="n">
        <v>24</v>
      </c>
      <c r="J7" s="62" t="n">
        <v>20</v>
      </c>
    </row>
    <row r="8" customFormat="false" ht="15" hidden="false" customHeight="false" outlineLevel="0" collapsed="false">
      <c r="A8" s="34" t="n">
        <f aca="false">Inputs!A129</f>
        <v>0</v>
      </c>
      <c r="B8" s="34" t="n">
        <f aca="false">Inputs!B129</f>
        <v>0</v>
      </c>
      <c r="C8" s="34" t="n">
        <f aca="false">Inputs!C129</f>
        <v>0</v>
      </c>
      <c r="D8" s="34" t="n">
        <f aca="false">Inputs!D129</f>
        <v>0</v>
      </c>
      <c r="E8" s="61" t="n">
        <v>5.5</v>
      </c>
      <c r="F8" s="61" t="n">
        <v>4.6</v>
      </c>
      <c r="G8" s="62" t="n">
        <v>22</v>
      </c>
      <c r="H8" s="62" t="n">
        <v>18</v>
      </c>
      <c r="I8" s="62" t="n">
        <v>32</v>
      </c>
      <c r="J8" s="62" t="n">
        <v>26</v>
      </c>
    </row>
    <row r="9" customFormat="false" ht="15" hidden="false" customHeight="false" outlineLevel="0" collapsed="false">
      <c r="A9" s="34" t="str">
        <f aca="false">Inputs!A130</f>
        <v>Section L — Sensitivity ranges  (Extended)</v>
      </c>
      <c r="B9" s="34" t="n">
        <f aca="false">Inputs!B130</f>
        <v>0</v>
      </c>
      <c r="C9" s="34" t="n">
        <f aca="false">Inputs!C130</f>
        <v>0</v>
      </c>
      <c r="D9" s="34" t="n">
        <f aca="false">Inputs!D130</f>
        <v>0</v>
      </c>
      <c r="E9" s="61" t="n">
        <v>3.1</v>
      </c>
      <c r="F9" s="61" t="n">
        <v>2.7</v>
      </c>
      <c r="G9" s="62" t="n">
        <v>14</v>
      </c>
      <c r="H9" s="62" t="n">
        <v>12</v>
      </c>
      <c r="I9" s="62" t="n">
        <v>21</v>
      </c>
      <c r="J9" s="62" t="n">
        <v>18</v>
      </c>
    </row>
    <row r="10" customFormat="false" ht="15" hidden="false" customHeight="false" outlineLevel="0" collapsed="false">
      <c r="A10" s="34" t="str">
        <f aca="false">Inputs!A131</f>
        <v>sens_wacc_step</v>
      </c>
      <c r="B10" s="34" t="str">
        <f aca="false">Inputs!B131</f>
        <v>WACC sensitivity step</v>
      </c>
      <c r="C10" s="34" t="str">
        <f aca="false">Inputs!C131</f>
        <v>percentage</v>
      </c>
      <c r="D10" s="34" t="n">
        <f aca="false">Inputs!D131</f>
        <v>0.005</v>
      </c>
      <c r="E10" s="61"/>
      <c r="F10" s="61"/>
      <c r="G10" s="62"/>
      <c r="H10" s="62"/>
      <c r="I10" s="62"/>
      <c r="J10" s="62"/>
    </row>
    <row r="11" customFormat="false" ht="15" hidden="false" customHeight="false" outlineLevel="0" collapsed="false">
      <c r="A11" s="34" t="str">
        <f aca="false">Inputs!A132</f>
        <v>sens_wacc_count</v>
      </c>
      <c r="B11" s="34" t="str">
        <f aca="false">Inputs!B132</f>
        <v>WACC steps each side of base</v>
      </c>
      <c r="C11" s="34" t="str">
        <f aca="false">Inputs!C132</f>
        <v>number</v>
      </c>
      <c r="D11" s="34" t="n">
        <f aca="false">Inputs!D132</f>
        <v>5</v>
      </c>
      <c r="E11" s="61"/>
      <c r="F11" s="61"/>
      <c r="G11" s="62"/>
      <c r="H11" s="62"/>
      <c r="I11" s="62"/>
      <c r="J11" s="62"/>
    </row>
    <row r="12" customFormat="false" ht="15" hidden="false" customHeight="false" outlineLevel="0" collapsed="false">
      <c r="A12" s="34" t="str">
        <f aca="false">Inputs!A133</f>
        <v>sens_terminal_g_step</v>
      </c>
      <c r="B12" s="34" t="str">
        <f aca="false">Inputs!B133</f>
        <v>Terminal g sensitivity step</v>
      </c>
      <c r="C12" s="34" t="str">
        <f aca="false">Inputs!C133</f>
        <v>percentage</v>
      </c>
      <c r="D12" s="34" t="n">
        <f aca="false">Inputs!D133</f>
        <v>0.005</v>
      </c>
      <c r="E12" s="61"/>
      <c r="F12" s="61"/>
      <c r="G12" s="62"/>
      <c r="H12" s="62"/>
      <c r="I12" s="62"/>
      <c r="J12" s="62"/>
    </row>
    <row r="13" customFormat="false" ht="15" hidden="false" customHeight="false" outlineLevel="0" collapsed="false">
      <c r="A13" s="34" t="str">
        <f aca="false">Inputs!A134</f>
        <v>sens_terminal_g_count</v>
      </c>
      <c r="B13" s="34" t="str">
        <f aca="false">Inputs!B134</f>
        <v>Terminal g steps each side</v>
      </c>
      <c r="C13" s="34" t="str">
        <f aca="false">Inputs!C134</f>
        <v>number</v>
      </c>
      <c r="D13" s="34" t="n">
        <f aca="false">Inputs!D134</f>
        <v>5</v>
      </c>
      <c r="E13" s="61"/>
      <c r="F13" s="61"/>
      <c r="G13" s="62"/>
      <c r="H13" s="62"/>
      <c r="I13" s="62"/>
      <c r="J13" s="62"/>
    </row>
    <row r="14" customFormat="false" ht="15" hidden="false" customHeight="false" outlineLevel="0" collapsed="false">
      <c r="A14" s="34" t="str">
        <f aca="false">Inputs!A135</f>
        <v>sens_revenue_g_step</v>
      </c>
      <c r="B14" s="34" t="str">
        <f aca="false">Inputs!B135</f>
        <v>Revenue growth sens step</v>
      </c>
      <c r="C14" s="34" t="str">
        <f aca="false">Inputs!C135</f>
        <v>percentage</v>
      </c>
      <c r="D14" s="34" t="n">
        <f aca="false">Inputs!D135</f>
        <v>0.02</v>
      </c>
      <c r="E14" s="61"/>
      <c r="F14" s="61"/>
      <c r="G14" s="62"/>
      <c r="H14" s="62"/>
      <c r="I14" s="62"/>
      <c r="J14" s="62"/>
    </row>
    <row r="15" customFormat="false" ht="15" hidden="false" customHeight="false" outlineLevel="0" collapsed="false">
      <c r="A15" s="34" t="str">
        <f aca="false">Inputs!A136</f>
        <v>sens_ebitda_margin_step</v>
      </c>
      <c r="B15" s="34" t="str">
        <f aca="false">Inputs!B136</f>
        <v>EBITDA margin sens step</v>
      </c>
      <c r="C15" s="34" t="str">
        <f aca="false">Inputs!C136</f>
        <v>percentage</v>
      </c>
      <c r="D15" s="34" t="n">
        <f aca="false">Inputs!D136</f>
        <v>0.02</v>
      </c>
      <c r="E15" s="61"/>
      <c r="F15" s="61"/>
      <c r="G15" s="62"/>
      <c r="H15" s="62"/>
      <c r="I15" s="62"/>
      <c r="J15" s="62"/>
    </row>
    <row r="16" customFormat="false" ht="15" hidden="false" customHeight="false" outlineLevel="0" collapsed="false">
      <c r="A16" s="34" t="n">
        <f aca="false">Inputs!A137</f>
        <v>0</v>
      </c>
      <c r="B16" s="34" t="n">
        <f aca="false">Inputs!B137</f>
        <v>0</v>
      </c>
      <c r="C16" s="34" t="n">
        <f aca="false">Inputs!C137</f>
        <v>0</v>
      </c>
      <c r="D16" s="34" t="n">
        <f aca="false">Inputs!D137</f>
        <v>0</v>
      </c>
      <c r="E16" s="61"/>
      <c r="F16" s="61"/>
      <c r="G16" s="62"/>
      <c r="H16" s="62"/>
      <c r="I16" s="62"/>
      <c r="J16" s="62"/>
    </row>
    <row r="17" customFormat="false" ht="15" hidden="false" customHeight="false" outlineLevel="0" collapsed="false">
      <c r="A17" s="34" t="str">
        <f aca="false">Inputs!A138</f>
        <v>Section G — Comparable companies table  (Core)</v>
      </c>
      <c r="B17" s="34" t="n">
        <f aca="false">Inputs!B138</f>
        <v>0</v>
      </c>
      <c r="C17" s="34" t="n">
        <f aca="false">Inputs!C138</f>
        <v>0</v>
      </c>
      <c r="D17" s="34" t="n">
        <f aca="false">Inputs!D138</f>
        <v>0</v>
      </c>
      <c r="E17" s="61"/>
      <c r="F17" s="61"/>
      <c r="G17" s="62"/>
      <c r="H17" s="62"/>
      <c r="I17" s="62"/>
      <c r="J17" s="62"/>
    </row>
    <row r="18" customFormat="false" ht="15" hidden="false" customHeight="false" outlineLevel="0" collapsed="false">
      <c r="A18" s="34" t="str">
        <f aca="false">Inputs!A139</f>
        <v>Tier</v>
      </c>
      <c r="B18" s="34" t="str">
        <f aca="false">Inputs!B139</f>
        <v>Include</v>
      </c>
      <c r="C18" s="34" t="str">
        <f aca="false">Inputs!C139</f>
        <v>Company</v>
      </c>
      <c r="D18" s="34" t="str">
        <f aca="false">Inputs!D139</f>
        <v>Ticker</v>
      </c>
      <c r="E18" s="61"/>
      <c r="F18" s="61"/>
      <c r="G18" s="62"/>
      <c r="H18" s="62"/>
      <c r="I18" s="62"/>
      <c r="J18" s="62"/>
    </row>
    <row r="19" customFormat="false" ht="15" hidden="false" customHeight="false" outlineLevel="0" collapsed="false">
      <c r="A19" s="34" t="n">
        <f aca="false">Inputs!A140</f>
        <v>1</v>
      </c>
      <c r="B19" s="40" t="b">
        <f aca="false">Inputs!B140</f>
        <v>1</v>
      </c>
      <c r="C19" s="34" t="str">
        <f aca="false">Inputs!C140</f>
        <v>Atlassian</v>
      </c>
      <c r="D19" s="34" t="str">
        <f aca="false">Inputs!D140</f>
        <v>NASDAQ:TEAM</v>
      </c>
      <c r="E19" s="61"/>
      <c r="F19" s="61"/>
      <c r="G19" s="62"/>
      <c r="H19" s="62"/>
      <c r="I19" s="62"/>
      <c r="J19" s="62"/>
    </row>
    <row r="20" customFormat="false" ht="15" hidden="false" customHeight="false" outlineLevel="0" collapsed="false">
      <c r="A20" s="34" t="n">
        <f aca="false">Inputs!A141</f>
        <v>1</v>
      </c>
      <c r="B20" s="40" t="b">
        <f aca="false">Inputs!B141</f>
        <v>1</v>
      </c>
      <c r="C20" s="34" t="str">
        <f aca="false">Inputs!C141</f>
        <v>Datadog</v>
      </c>
      <c r="D20" s="34" t="str">
        <f aca="false">Inputs!D141</f>
        <v>NASDAQ:DDOG</v>
      </c>
      <c r="E20" s="61"/>
      <c r="F20" s="61"/>
      <c r="G20" s="62"/>
      <c r="H20" s="62"/>
      <c r="I20" s="62"/>
      <c r="J20" s="62"/>
    </row>
    <row r="21" customFormat="false" ht="15" hidden="false" customHeight="false" outlineLevel="0" collapsed="false">
      <c r="A21" s="34" t="n">
        <f aca="false">Inputs!A142</f>
        <v>2</v>
      </c>
      <c r="B21" s="40" t="b">
        <f aca="false">Inputs!B142</f>
        <v>1</v>
      </c>
      <c r="C21" s="34" t="str">
        <f aca="false">Inputs!C142</f>
        <v>MongoDB</v>
      </c>
      <c r="D21" s="34" t="str">
        <f aca="false">Inputs!D142</f>
        <v>NASDAQ:MDB</v>
      </c>
      <c r="E21" s="61"/>
      <c r="F21" s="61"/>
      <c r="G21" s="62"/>
      <c r="H21" s="62"/>
      <c r="I21" s="62"/>
      <c r="J21" s="62"/>
    </row>
    <row r="22" customFormat="false" ht="15" hidden="false" customHeight="false" outlineLevel="0" collapsed="false">
      <c r="A22" s="34" t="n">
        <f aca="false">Inputs!A143</f>
        <v>3</v>
      </c>
      <c r="B22" s="40" t="b">
        <f aca="false">Inputs!B143</f>
        <v>1</v>
      </c>
      <c r="C22" s="34" t="str">
        <f aca="false">Inputs!C143</f>
        <v>Box</v>
      </c>
      <c r="D22" s="34" t="str">
        <f aca="false">Inputs!D143</f>
        <v>NASDAQ:BOX</v>
      </c>
      <c r="E22" s="61"/>
      <c r="F22" s="61"/>
      <c r="G22" s="62"/>
      <c r="H22" s="62"/>
      <c r="I22" s="62"/>
      <c r="J22" s="62"/>
    </row>
    <row r="23" customFormat="false" ht="15" hidden="false" customHeight="false" outlineLevel="0" collapsed="false">
      <c r="A23" s="34" t="n">
        <f aca="false">Inputs!A144</f>
        <v>0</v>
      </c>
      <c r="B23" s="34" t="n">
        <f aca="false">Inputs!B144</f>
        <v>0</v>
      </c>
      <c r="C23" s="34" t="n">
        <f aca="false">Inputs!C144</f>
        <v>0</v>
      </c>
      <c r="D23" s="34" t="n">
        <f aca="false">Inputs!D144</f>
        <v>0</v>
      </c>
      <c r="E23" s="61"/>
      <c r="F23" s="61"/>
      <c r="G23" s="62"/>
      <c r="H23" s="62"/>
      <c r="I23" s="62"/>
      <c r="J23" s="62"/>
    </row>
    <row r="24" customFormat="false" ht="15" hidden="false" customHeight="false" outlineLevel="0" collapsed="false">
      <c r="A24" s="34" t="n">
        <f aca="false">Inputs!A145</f>
        <v>0</v>
      </c>
      <c r="B24" s="34" t="n">
        <f aca="false">Inputs!B145</f>
        <v>0</v>
      </c>
      <c r="C24" s="34" t="n">
        <f aca="false">Inputs!C145</f>
        <v>0</v>
      </c>
      <c r="D24" s="34" t="n">
        <f aca="false">Inputs!D145</f>
        <v>0</v>
      </c>
      <c r="E24" s="61"/>
      <c r="F24" s="61"/>
      <c r="G24" s="62"/>
      <c r="H24" s="62"/>
      <c r="I24" s="62"/>
      <c r="J24" s="62"/>
    </row>
    <row r="25" customFormat="false" ht="15" hidden="false" customHeight="false" outlineLevel="0" collapsed="false">
      <c r="A25" s="34" t="n">
        <f aca="false">Inputs!A146</f>
        <v>0</v>
      </c>
      <c r="B25" s="34" t="n">
        <f aca="false">Inputs!B146</f>
        <v>0</v>
      </c>
      <c r="C25" s="34" t="n">
        <f aca="false">Inputs!C146</f>
        <v>0</v>
      </c>
      <c r="D25" s="34" t="n">
        <f aca="false">Inputs!D146</f>
        <v>0</v>
      </c>
      <c r="E25" s="61"/>
      <c r="F25" s="61"/>
      <c r="G25" s="62"/>
      <c r="H25" s="62"/>
      <c r="I25" s="62"/>
      <c r="J25" s="62"/>
    </row>
    <row r="26" customFormat="false" ht="15" hidden="false" customHeight="false" outlineLevel="0" collapsed="false">
      <c r="A26" s="34" t="n">
        <f aca="false">Inputs!A147</f>
        <v>0</v>
      </c>
      <c r="B26" s="34" t="n">
        <f aca="false">Inputs!B147</f>
        <v>0</v>
      </c>
      <c r="C26" s="34" t="n">
        <f aca="false">Inputs!C147</f>
        <v>0</v>
      </c>
      <c r="D26" s="34" t="n">
        <f aca="false">Inputs!D147</f>
        <v>0</v>
      </c>
      <c r="E26" s="61"/>
      <c r="F26" s="61"/>
      <c r="G26" s="62"/>
      <c r="H26" s="62"/>
      <c r="I26" s="62"/>
      <c r="J26" s="62"/>
    </row>
    <row r="27" customFormat="false" ht="15" hidden="false" customHeight="false" outlineLevel="0" collapsed="false">
      <c r="A27" s="34" t="n">
        <f aca="false">Inputs!A148</f>
        <v>0</v>
      </c>
      <c r="B27" s="34" t="n">
        <f aca="false">Inputs!B148</f>
        <v>0</v>
      </c>
      <c r="C27" s="34" t="n">
        <f aca="false">Inputs!C148</f>
        <v>0</v>
      </c>
      <c r="D27" s="34" t="n">
        <f aca="false">Inputs!D148</f>
        <v>0</v>
      </c>
      <c r="E27" s="61"/>
      <c r="F27" s="61"/>
      <c r="G27" s="62"/>
      <c r="H27" s="62"/>
      <c r="I27" s="62"/>
      <c r="J27" s="62"/>
    </row>
    <row r="28" customFormat="false" ht="15" hidden="false" customHeight="false" outlineLevel="0" collapsed="false">
      <c r="A28" s="34" t="n">
        <f aca="false">Inputs!A149</f>
        <v>0</v>
      </c>
      <c r="B28" s="34" t="n">
        <f aca="false">Inputs!B149</f>
        <v>0</v>
      </c>
      <c r="C28" s="34" t="n">
        <f aca="false">Inputs!C149</f>
        <v>0</v>
      </c>
      <c r="D28" s="34" t="n">
        <f aca="false">Inputs!D149</f>
        <v>0</v>
      </c>
      <c r="E28" s="61"/>
      <c r="F28" s="61"/>
      <c r="G28" s="62"/>
      <c r="H28" s="62"/>
      <c r="I28" s="62"/>
      <c r="J28" s="62"/>
    </row>
    <row r="29" customFormat="false" ht="15" hidden="false" customHeight="false" outlineLevel="0" collapsed="false">
      <c r="A29" s="34" t="n">
        <f aca="false">Inputs!A150</f>
        <v>0</v>
      </c>
      <c r="B29" s="34" t="n">
        <f aca="false">Inputs!B150</f>
        <v>0</v>
      </c>
      <c r="C29" s="34" t="n">
        <f aca="false">Inputs!C150</f>
        <v>0</v>
      </c>
      <c r="D29" s="34" t="n">
        <f aca="false">Inputs!D150</f>
        <v>0</v>
      </c>
      <c r="E29" s="61"/>
      <c r="F29" s="61"/>
      <c r="G29" s="62"/>
      <c r="H29" s="62"/>
      <c r="I29" s="62"/>
      <c r="J29" s="62"/>
    </row>
    <row r="30" customFormat="false" ht="15" hidden="false" customHeight="false" outlineLevel="0" collapsed="false">
      <c r="A30" s="34" t="n">
        <f aca="false">Inputs!A151</f>
        <v>0</v>
      </c>
      <c r="B30" s="34" t="n">
        <f aca="false">Inputs!B151</f>
        <v>0</v>
      </c>
      <c r="C30" s="34" t="n">
        <f aca="false">Inputs!C151</f>
        <v>0</v>
      </c>
      <c r="D30" s="34" t="n">
        <f aca="false">Inputs!D151</f>
        <v>0</v>
      </c>
      <c r="E30" s="61"/>
      <c r="F30" s="61"/>
      <c r="G30" s="62"/>
      <c r="H30" s="62"/>
      <c r="I30" s="62"/>
      <c r="J30" s="62"/>
    </row>
    <row r="31" customFormat="false" ht="15" hidden="false" customHeight="false" outlineLevel="0" collapsed="false">
      <c r="A31" s="34" t="n">
        <f aca="false">Inputs!A152</f>
        <v>0</v>
      </c>
      <c r="B31" s="34" t="n">
        <f aca="false">Inputs!B152</f>
        <v>0</v>
      </c>
      <c r="C31" s="34" t="n">
        <f aca="false">Inputs!C152</f>
        <v>0</v>
      </c>
      <c r="D31" s="34" t="n">
        <f aca="false">Inputs!D152</f>
        <v>0</v>
      </c>
      <c r="E31" s="61"/>
      <c r="F31" s="61"/>
      <c r="G31" s="62"/>
      <c r="H31" s="62"/>
      <c r="I31" s="62"/>
      <c r="J31" s="62"/>
    </row>
    <row r="32" customFormat="false" ht="15" hidden="false" customHeight="false" outlineLevel="0" collapsed="false">
      <c r="A32" s="34" t="n">
        <f aca="false">Inputs!A153</f>
        <v>0</v>
      </c>
      <c r="B32" s="34" t="n">
        <f aca="false">Inputs!B153</f>
        <v>0</v>
      </c>
      <c r="C32" s="34" t="n">
        <f aca="false">Inputs!C153</f>
        <v>0</v>
      </c>
      <c r="D32" s="34" t="n">
        <f aca="false">Inputs!D153</f>
        <v>0</v>
      </c>
      <c r="E32" s="61"/>
      <c r="F32" s="61"/>
      <c r="G32" s="62"/>
      <c r="H32" s="62"/>
      <c r="I32" s="62"/>
      <c r="J32" s="62"/>
    </row>
    <row r="33" customFormat="false" ht="15" hidden="false" customHeight="false" outlineLevel="0" collapsed="false">
      <c r="A33" s="34" t="n">
        <f aca="false">Inputs!A154</f>
        <v>0</v>
      </c>
      <c r="B33" s="34" t="n">
        <f aca="false">Inputs!B154</f>
        <v>0</v>
      </c>
      <c r="C33" s="34" t="n">
        <f aca="false">Inputs!C154</f>
        <v>0</v>
      </c>
      <c r="D33" s="34" t="n">
        <f aca="false">Inputs!D154</f>
        <v>0</v>
      </c>
      <c r="E33" s="61"/>
      <c r="F33" s="61"/>
      <c r="G33" s="62"/>
      <c r="H33" s="62"/>
      <c r="I33" s="62"/>
      <c r="J33" s="62"/>
    </row>
    <row r="34" customFormat="false" ht="15" hidden="false" customHeight="false" outlineLevel="0" collapsed="false">
      <c r="A34" s="34" t="n">
        <f aca="false">Inputs!A155</f>
        <v>0</v>
      </c>
      <c r="B34" s="34" t="n">
        <f aca="false">Inputs!B155</f>
        <v>0</v>
      </c>
      <c r="C34" s="34" t="n">
        <f aca="false">Inputs!C155</f>
        <v>0</v>
      </c>
      <c r="D34" s="34" t="n">
        <f aca="false">Inputs!D155</f>
        <v>0</v>
      </c>
      <c r="E34" s="61"/>
      <c r="F34" s="61"/>
      <c r="G34" s="62"/>
      <c r="H34" s="62"/>
      <c r="I34" s="62"/>
      <c r="J34" s="62"/>
    </row>
    <row r="35" customFormat="false" ht="15" hidden="false" customHeight="false" outlineLevel="0" collapsed="false">
      <c r="A35" s="34" t="n">
        <f aca="false">Inputs!A156</f>
        <v>0</v>
      </c>
      <c r="B35" s="34" t="n">
        <f aca="false">Inputs!B156</f>
        <v>0</v>
      </c>
      <c r="C35" s="34" t="n">
        <f aca="false">Inputs!C156</f>
        <v>0</v>
      </c>
      <c r="D35" s="34" t="n">
        <f aca="false">Inputs!D156</f>
        <v>0</v>
      </c>
      <c r="E35" s="61"/>
      <c r="F35" s="61"/>
      <c r="G35" s="62"/>
      <c r="H35" s="62"/>
      <c r="I35" s="62"/>
      <c r="J35" s="62"/>
    </row>
    <row r="37" customFormat="false" ht="15" hidden="false" customHeight="false" outlineLevel="0" collapsed="false">
      <c r="D37" s="47" t="s">
        <v>714</v>
      </c>
      <c r="E37" s="63" t="n">
        <f aca="false">IFERROR(MAX(E6:E35),"n/a")</f>
        <v>5.5</v>
      </c>
      <c r="F37" s="63" t="n">
        <f aca="false">IFERROR(MAX(F6:F35),"n/a")</f>
        <v>4.6</v>
      </c>
      <c r="G37" s="64" t="n">
        <f aca="false">IFERROR(MAX(G6:G35),"n/a")</f>
        <v>22</v>
      </c>
      <c r="H37" s="64" t="n">
        <f aca="false">IFERROR(MAX(H6:H35),"n/a")</f>
        <v>18</v>
      </c>
      <c r="I37" s="64" t="n">
        <f aca="false">IFERROR(MAX(I6:I35),"n/a")</f>
        <v>32</v>
      </c>
      <c r="J37" s="64" t="n">
        <f aca="false">IFERROR(MAX(J6:J35),"n/a")</f>
        <v>26</v>
      </c>
    </row>
    <row r="38" customFormat="false" ht="15" hidden="false" customHeight="false" outlineLevel="0" collapsed="false">
      <c r="D38" s="47" t="s">
        <v>715</v>
      </c>
      <c r="E38" s="63" t="n">
        <f aca="false">IFERROR(QUARTILE(E6:E35,3),"n/a")</f>
        <v>4.525</v>
      </c>
      <c r="F38" s="63" t="n">
        <f aca="false">IFERROR(QUARTILE(F6:F35,3),"n/a")</f>
        <v>3.775</v>
      </c>
      <c r="G38" s="64" t="n">
        <f aca="false">IFERROR(QUARTILE(G6:G35,3),"n/a")</f>
        <v>19</v>
      </c>
      <c r="H38" s="64" t="n">
        <f aca="false">IFERROR(QUARTILE(H6:H35,3),"n/a")</f>
        <v>15.75</v>
      </c>
      <c r="I38" s="64" t="n">
        <f aca="false">IFERROR(QUARTILE(I6:I35,3),"n/a")</f>
        <v>27.5</v>
      </c>
      <c r="J38" s="64" t="n">
        <f aca="false">IFERROR(QUARTILE(J6:J35,3),"n/a")</f>
        <v>23</v>
      </c>
    </row>
    <row r="39" customFormat="false" ht="15" hidden="false" customHeight="false" outlineLevel="0" collapsed="false">
      <c r="D39" s="47" t="s">
        <v>158</v>
      </c>
      <c r="E39" s="65" t="n">
        <f aca="false">IFERROR(MEDIAN(E6:E35),"n/a")</f>
        <v>4</v>
      </c>
      <c r="F39" s="65" t="n">
        <f aca="false">IFERROR(MEDIAN(F6:F35),"n/a")</f>
        <v>3.35</v>
      </c>
      <c r="G39" s="66" t="n">
        <f aca="false">IFERROR(MEDIAN(G6:G35),"n/a")</f>
        <v>17.25</v>
      </c>
      <c r="H39" s="66" t="n">
        <f aca="false">IFERROR(MEDIAN(H6:H35),"n/a")</f>
        <v>14.25</v>
      </c>
      <c r="I39" s="66" t="n">
        <f aca="false">IFERROR(MEDIAN(I6:I35),"n/a")</f>
        <v>25</v>
      </c>
      <c r="J39" s="66" t="n">
        <f aca="false">IFERROR(MEDIAN(J6:J35),"n/a")</f>
        <v>21</v>
      </c>
    </row>
    <row r="40" customFormat="false" ht="15" hidden="false" customHeight="false" outlineLevel="0" collapsed="false">
      <c r="D40" s="47" t="s">
        <v>161</v>
      </c>
      <c r="E40" s="63" t="n">
        <f aca="false">IFERROR(AVERAGE(E6:E35),"n/a")</f>
        <v>4.15</v>
      </c>
      <c r="F40" s="63" t="n">
        <f aca="false">IFERROR(AVERAGE(F6:F35),"n/a")</f>
        <v>3.5</v>
      </c>
      <c r="G40" s="64" t="n">
        <f aca="false">IFERROR(AVERAGE(G6:G35),"n/a")</f>
        <v>17.625</v>
      </c>
      <c r="H40" s="64" t="n">
        <f aca="false">IFERROR(AVERAGE(H6:H35),"n/a")</f>
        <v>14.625</v>
      </c>
      <c r="I40" s="64" t="n">
        <f aca="false">IFERROR(AVERAGE(I6:I35),"n/a")</f>
        <v>25.75</v>
      </c>
      <c r="J40" s="64" t="n">
        <f aca="false">IFERROR(AVERAGE(J6:J35),"n/a")</f>
        <v>21.5</v>
      </c>
    </row>
    <row r="41" customFormat="false" ht="15" hidden="false" customHeight="false" outlineLevel="0" collapsed="false">
      <c r="D41" s="47" t="s">
        <v>716</v>
      </c>
      <c r="E41" s="63" t="n">
        <f aca="false">IFERROR(QUARTILE(E6:E35,1),"n/a")</f>
        <v>3.625</v>
      </c>
      <c r="F41" s="63" t="n">
        <f aca="false">IFERROR(QUARTILE(F6:F35,1),"n/a")</f>
        <v>3.075</v>
      </c>
      <c r="G41" s="64" t="n">
        <f aca="false">IFERROR(QUARTILE(G6:G35,1),"n/a")</f>
        <v>15.875</v>
      </c>
      <c r="H41" s="64" t="n">
        <f aca="false">IFERROR(QUARTILE(H6:H35,1),"n/a")</f>
        <v>13.125</v>
      </c>
      <c r="I41" s="64" t="n">
        <f aca="false">IFERROR(QUARTILE(I6:I35,1),"n/a")</f>
        <v>23.25</v>
      </c>
      <c r="J41" s="64" t="n">
        <f aca="false">IFERROR(QUARTILE(J6:J35,1),"n/a")</f>
        <v>19.5</v>
      </c>
    </row>
    <row r="42" customFormat="false" ht="15" hidden="false" customHeight="false" outlineLevel="0" collapsed="false">
      <c r="D42" s="47" t="s">
        <v>717</v>
      </c>
      <c r="E42" s="63" t="n">
        <f aca="false">IFERROR(MIN(E6:E35),"n/a")</f>
        <v>3.1</v>
      </c>
      <c r="F42" s="63" t="n">
        <f aca="false">IFERROR(MIN(F6:F35),"n/a")</f>
        <v>2.7</v>
      </c>
      <c r="G42" s="64" t="n">
        <f aca="false">IFERROR(MIN(G6:G35),"n/a")</f>
        <v>14</v>
      </c>
      <c r="H42" s="64" t="n">
        <f aca="false">IFERROR(MIN(H6:H35),"n/a")</f>
        <v>12</v>
      </c>
      <c r="I42" s="64" t="n">
        <f aca="false">IFERROR(MIN(I6:I35),"n/a")</f>
        <v>21</v>
      </c>
      <c r="J42" s="64" t="n">
        <f aca="false">IFERROR(MIN(J6:J35),"n/a")</f>
        <v>18</v>
      </c>
    </row>
    <row r="44" customFormat="false" ht="15" hidden="false" customHeight="false" outlineLevel="0" collapsed="false">
      <c r="D44" s="67" t="s">
        <v>718</v>
      </c>
    </row>
    <row r="45" customFormat="false" ht="15" hidden="false" customHeight="false" outlineLevel="0" collapsed="false">
      <c r="D45" s="4" t="s">
        <v>719</v>
      </c>
      <c r="E45" s="51" t="str">
        <f aca="false">IFERROR(AVERAGEIFS(E6:E35,$A$6:$A$35,1,$B$6:$B$35,TRUE()),"n/a")</f>
        <v>n/a</v>
      </c>
      <c r="F45" s="51" t="str">
        <f aca="false">IFERROR(AVERAGEIFS(F6:F35,$A$6:$A$35,1,$B$6:$B$35,TRUE()),"n/a")</f>
        <v>n/a</v>
      </c>
      <c r="G45" s="68" t="str">
        <f aca="false">IFERROR(AVERAGEIFS(G6:G35,$A$6:$A$35,1,$B$6:$B$35,TRUE()),"n/a")</f>
        <v>n/a</v>
      </c>
      <c r="H45" s="68" t="str">
        <f aca="false">IFERROR(AVERAGEIFS(H6:H35,$A$6:$A$35,1,$B$6:$B$35,TRUE()),"n/a")</f>
        <v>n/a</v>
      </c>
      <c r="I45" s="68" t="str">
        <f aca="false">IFERROR(AVERAGEIFS(I6:I35,$A$6:$A$35,1,$B$6:$B$35,TRUE()),"n/a")</f>
        <v>n/a</v>
      </c>
      <c r="J45" s="68" t="str">
        <f aca="false">IFERROR(AVERAGEIFS(J6:J35,$A$6:$A$35,1,$B$6:$B$35,TRUE()),"n/a")</f>
        <v>n/a</v>
      </c>
    </row>
    <row r="46" customFormat="false" ht="15" hidden="false" customHeight="false" outlineLevel="0" collapsed="false">
      <c r="D46" s="4" t="s">
        <v>720</v>
      </c>
      <c r="E46" s="51" t="str">
        <f aca="false">IFERROR(AVERAGEIFS(E6:E35,$A$6:$A$35,2,$B$6:$B$35,TRUE()),"n/a")</f>
        <v>n/a</v>
      </c>
      <c r="F46" s="51" t="str">
        <f aca="false">IFERROR(AVERAGEIFS(F6:F35,$A$6:$A$35,2,$B$6:$B$35,TRUE()),"n/a")</f>
        <v>n/a</v>
      </c>
      <c r="G46" s="68" t="str">
        <f aca="false">IFERROR(AVERAGEIFS(G6:G35,$A$6:$A$35,2,$B$6:$B$35,TRUE()),"n/a")</f>
        <v>n/a</v>
      </c>
      <c r="H46" s="68" t="str">
        <f aca="false">IFERROR(AVERAGEIFS(H6:H35,$A$6:$A$35,2,$B$6:$B$35,TRUE()),"n/a")</f>
        <v>n/a</v>
      </c>
      <c r="I46" s="68" t="str">
        <f aca="false">IFERROR(AVERAGEIFS(I6:I35,$A$6:$A$35,2,$B$6:$B$35,TRUE()),"n/a")</f>
        <v>n/a</v>
      </c>
      <c r="J46" s="68" t="str">
        <f aca="false">IFERROR(AVERAGEIFS(J6:J35,$A$6:$A$35,2,$B$6:$B$35,TRUE()),"n/a")</f>
        <v>n/a</v>
      </c>
    </row>
    <row r="47" customFormat="false" ht="15" hidden="false" customHeight="false" outlineLevel="0" collapsed="false">
      <c r="D47" s="4" t="s">
        <v>721</v>
      </c>
      <c r="E47" s="51" t="str">
        <f aca="false">IFERROR(AVERAGEIFS(E6:E35,$A$6:$A$35,3,$B$6:$B$35,TRUE()),"n/a")</f>
        <v>n/a</v>
      </c>
      <c r="F47" s="51" t="str">
        <f aca="false">IFERROR(AVERAGEIFS(F6:F35,$A$6:$A$35,3,$B$6:$B$35,TRUE()),"n/a")</f>
        <v>n/a</v>
      </c>
      <c r="G47" s="68" t="str">
        <f aca="false">IFERROR(AVERAGEIFS(G6:G35,$A$6:$A$35,3,$B$6:$B$35,TRUE()),"n/a")</f>
        <v>n/a</v>
      </c>
      <c r="H47" s="68" t="str">
        <f aca="false">IFERROR(AVERAGEIFS(H6:H35,$A$6:$A$35,3,$B$6:$B$35,TRUE()),"n/a")</f>
        <v>n/a</v>
      </c>
      <c r="I47" s="68" t="str">
        <f aca="false">IFERROR(AVERAGEIFS(I6:I35,$A$6:$A$35,3,$B$6:$B$35,TRUE()),"n/a")</f>
        <v>n/a</v>
      </c>
      <c r="J47" s="68" t="str">
        <f aca="false">IFERROR(AVERAGEIFS(J6:J35,$A$6:$A$35,3,$B$6:$B$35,TRUE()),"n/a")</f>
        <v>n/a</v>
      </c>
    </row>
  </sheetData>
  <mergeCells count="2">
    <mergeCell ref="A1:H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4"/>
    <col collapsed="false" customWidth="true" hidden="false" outlineLevel="0" max="7" min="4" style="0" width="14"/>
  </cols>
  <sheetData>
    <row r="1" customFormat="false" ht="21.75" hidden="false" customHeight="true" outlineLevel="0" collapsed="false">
      <c r="A1" s="1" t="s">
        <v>722</v>
      </c>
      <c r="B1" s="1"/>
      <c r="C1" s="1"/>
      <c r="D1" s="1"/>
      <c r="E1" s="1"/>
      <c r="F1" s="1"/>
      <c r="G1" s="1"/>
      <c r="H1" s="1"/>
    </row>
    <row r="2" customFormat="false" ht="15" hidden="false" customHeight="false" outlineLevel="0" collapsed="false">
      <c r="A2" s="2" t="s">
        <v>709</v>
      </c>
      <c r="B2" s="2"/>
      <c r="C2" s="2"/>
      <c r="D2" s="2"/>
      <c r="E2" s="2"/>
      <c r="F2" s="2"/>
      <c r="G2" s="2"/>
    </row>
    <row r="4" customFormat="false" ht="15" hidden="false" customHeight="false" outlineLevel="0" collapsed="false">
      <c r="A4" s="22" t="s">
        <v>470</v>
      </c>
      <c r="B4" s="22" t="s">
        <v>471</v>
      </c>
      <c r="C4" s="22" t="s">
        <v>3</v>
      </c>
      <c r="D4" s="22" t="s">
        <v>472</v>
      </c>
      <c r="E4" s="22" t="s">
        <v>601</v>
      </c>
      <c r="F4" s="22" t="s">
        <v>604</v>
      </c>
      <c r="G4" s="22" t="s">
        <v>723</v>
      </c>
    </row>
    <row r="6" customFormat="false" ht="15" hidden="false" customHeight="false" outlineLevel="0" collapsed="false">
      <c r="A6" s="34" t="str">
        <f aca="false">Inputs!A127</f>
        <v>selected_mid</v>
      </c>
      <c r="B6" s="34" t="str">
        <f aca="false">Inputs!B127</f>
        <v>Selected valuation mid</v>
      </c>
      <c r="C6" s="34" t="str">
        <f aca="false">Inputs!C127</f>
        <v>currency</v>
      </c>
      <c r="D6" s="34" t="n">
        <f aca="false">Inputs!D127</f>
        <v>0</v>
      </c>
      <c r="E6" s="69" t="n">
        <v>0.55</v>
      </c>
      <c r="F6" s="69" t="n">
        <v>0.18</v>
      </c>
      <c r="G6" s="69" t="n">
        <v>0.12</v>
      </c>
    </row>
    <row r="7" customFormat="false" ht="15" hidden="false" customHeight="false" outlineLevel="0" collapsed="false">
      <c r="A7" s="34" t="str">
        <f aca="false">Inputs!A128</f>
        <v>selected_high</v>
      </c>
      <c r="B7" s="34" t="str">
        <f aca="false">Inputs!B128</f>
        <v>Selected valuation high</v>
      </c>
      <c r="C7" s="34" t="str">
        <f aca="false">Inputs!C128</f>
        <v>currency</v>
      </c>
      <c r="D7" s="34" t="n">
        <f aca="false">Inputs!D128</f>
        <v>0</v>
      </c>
      <c r="E7" s="69" t="n">
        <v>0.52</v>
      </c>
      <c r="F7" s="69" t="n">
        <v>0.16</v>
      </c>
      <c r="G7" s="69" t="n">
        <v>0.1</v>
      </c>
    </row>
    <row r="8" customFormat="false" ht="15" hidden="false" customHeight="false" outlineLevel="0" collapsed="false">
      <c r="A8" s="34" t="n">
        <f aca="false">Inputs!A129</f>
        <v>0</v>
      </c>
      <c r="B8" s="34" t="n">
        <f aca="false">Inputs!B129</f>
        <v>0</v>
      </c>
      <c r="C8" s="34" t="n">
        <f aca="false">Inputs!C129</f>
        <v>0</v>
      </c>
      <c r="D8" s="34" t="n">
        <f aca="false">Inputs!D129</f>
        <v>0</v>
      </c>
      <c r="E8" s="69" t="n">
        <v>0.62</v>
      </c>
      <c r="F8" s="69" t="n">
        <v>0.22</v>
      </c>
      <c r="G8" s="69" t="n">
        <v>0.16</v>
      </c>
    </row>
    <row r="9" customFormat="false" ht="15" hidden="false" customHeight="false" outlineLevel="0" collapsed="false">
      <c r="A9" s="34" t="str">
        <f aca="false">Inputs!A130</f>
        <v>Section L — Sensitivity ranges  (Extended)</v>
      </c>
      <c r="B9" s="34" t="n">
        <f aca="false">Inputs!B130</f>
        <v>0</v>
      </c>
      <c r="C9" s="34" t="n">
        <f aca="false">Inputs!C130</f>
        <v>0</v>
      </c>
      <c r="D9" s="34" t="n">
        <f aca="false">Inputs!D130</f>
        <v>0</v>
      </c>
      <c r="E9" s="69" t="n">
        <v>0.48</v>
      </c>
      <c r="F9" s="69" t="n">
        <v>0.14</v>
      </c>
      <c r="G9" s="69" t="n">
        <v>0.09</v>
      </c>
    </row>
    <row r="10" customFormat="false" ht="15" hidden="false" customHeight="false" outlineLevel="0" collapsed="false">
      <c r="A10" s="34" t="str">
        <f aca="false">Inputs!A131</f>
        <v>sens_wacc_step</v>
      </c>
      <c r="B10" s="34" t="str">
        <f aca="false">Inputs!B131</f>
        <v>WACC sensitivity step</v>
      </c>
      <c r="C10" s="34" t="str">
        <f aca="false">Inputs!C131</f>
        <v>percentage</v>
      </c>
      <c r="D10" s="34" t="n">
        <f aca="false">Inputs!D131</f>
        <v>0.005</v>
      </c>
      <c r="E10" s="69"/>
      <c r="F10" s="69"/>
      <c r="G10" s="69"/>
    </row>
    <row r="11" customFormat="false" ht="15" hidden="false" customHeight="false" outlineLevel="0" collapsed="false">
      <c r="A11" s="34" t="str">
        <f aca="false">Inputs!A132</f>
        <v>sens_wacc_count</v>
      </c>
      <c r="B11" s="34" t="str">
        <f aca="false">Inputs!B132</f>
        <v>WACC steps each side of base</v>
      </c>
      <c r="C11" s="34" t="str">
        <f aca="false">Inputs!C132</f>
        <v>number</v>
      </c>
      <c r="D11" s="34" t="n">
        <f aca="false">Inputs!D132</f>
        <v>5</v>
      </c>
      <c r="E11" s="69"/>
      <c r="F11" s="69"/>
      <c r="G11" s="69"/>
    </row>
    <row r="12" customFormat="false" ht="15" hidden="false" customHeight="false" outlineLevel="0" collapsed="false">
      <c r="A12" s="34" t="str">
        <f aca="false">Inputs!A133</f>
        <v>sens_terminal_g_step</v>
      </c>
      <c r="B12" s="34" t="str">
        <f aca="false">Inputs!B133</f>
        <v>Terminal g sensitivity step</v>
      </c>
      <c r="C12" s="34" t="str">
        <f aca="false">Inputs!C133</f>
        <v>percentage</v>
      </c>
      <c r="D12" s="34" t="n">
        <f aca="false">Inputs!D133</f>
        <v>0.005</v>
      </c>
      <c r="E12" s="69"/>
      <c r="F12" s="69"/>
      <c r="G12" s="69"/>
    </row>
    <row r="13" customFormat="false" ht="15" hidden="false" customHeight="false" outlineLevel="0" collapsed="false">
      <c r="A13" s="34" t="str">
        <f aca="false">Inputs!A134</f>
        <v>sens_terminal_g_count</v>
      </c>
      <c r="B13" s="34" t="str">
        <f aca="false">Inputs!B134</f>
        <v>Terminal g steps each side</v>
      </c>
      <c r="C13" s="34" t="str">
        <f aca="false">Inputs!C134</f>
        <v>number</v>
      </c>
      <c r="D13" s="34" t="n">
        <f aca="false">Inputs!D134</f>
        <v>5</v>
      </c>
      <c r="E13" s="69"/>
      <c r="F13" s="69"/>
      <c r="G13" s="69"/>
    </row>
    <row r="14" customFormat="false" ht="15" hidden="false" customHeight="false" outlineLevel="0" collapsed="false">
      <c r="A14" s="34" t="str">
        <f aca="false">Inputs!A135</f>
        <v>sens_revenue_g_step</v>
      </c>
      <c r="B14" s="34" t="str">
        <f aca="false">Inputs!B135</f>
        <v>Revenue growth sens step</v>
      </c>
      <c r="C14" s="34" t="str">
        <f aca="false">Inputs!C135</f>
        <v>percentage</v>
      </c>
      <c r="D14" s="34" t="n">
        <f aca="false">Inputs!D135</f>
        <v>0.02</v>
      </c>
      <c r="E14" s="69"/>
      <c r="F14" s="69"/>
      <c r="G14" s="69"/>
    </row>
    <row r="15" customFormat="false" ht="15" hidden="false" customHeight="false" outlineLevel="0" collapsed="false">
      <c r="A15" s="34" t="str">
        <f aca="false">Inputs!A136</f>
        <v>sens_ebitda_margin_step</v>
      </c>
      <c r="B15" s="34" t="str">
        <f aca="false">Inputs!B136</f>
        <v>EBITDA margin sens step</v>
      </c>
      <c r="C15" s="34" t="str">
        <f aca="false">Inputs!C136</f>
        <v>percentage</v>
      </c>
      <c r="D15" s="34" t="n">
        <f aca="false">Inputs!D136</f>
        <v>0.02</v>
      </c>
      <c r="E15" s="69"/>
      <c r="F15" s="69"/>
      <c r="G15" s="69"/>
    </row>
    <row r="16" customFormat="false" ht="15" hidden="false" customHeight="false" outlineLevel="0" collapsed="false">
      <c r="A16" s="34" t="n">
        <f aca="false">Inputs!A137</f>
        <v>0</v>
      </c>
      <c r="B16" s="34" t="n">
        <f aca="false">Inputs!B137</f>
        <v>0</v>
      </c>
      <c r="C16" s="34" t="n">
        <f aca="false">Inputs!C137</f>
        <v>0</v>
      </c>
      <c r="D16" s="34" t="n">
        <f aca="false">Inputs!D137</f>
        <v>0</v>
      </c>
      <c r="E16" s="69"/>
      <c r="F16" s="69"/>
      <c r="G16" s="69"/>
    </row>
    <row r="17" customFormat="false" ht="15" hidden="false" customHeight="false" outlineLevel="0" collapsed="false">
      <c r="A17" s="34" t="str">
        <f aca="false">Inputs!A138</f>
        <v>Section G — Comparable companies table  (Core)</v>
      </c>
      <c r="B17" s="34" t="n">
        <f aca="false">Inputs!B138</f>
        <v>0</v>
      </c>
      <c r="C17" s="34" t="n">
        <f aca="false">Inputs!C138</f>
        <v>0</v>
      </c>
      <c r="D17" s="34" t="n">
        <f aca="false">Inputs!D138</f>
        <v>0</v>
      </c>
      <c r="E17" s="69"/>
      <c r="F17" s="69"/>
      <c r="G17" s="69"/>
    </row>
    <row r="18" customFormat="false" ht="15" hidden="false" customHeight="false" outlineLevel="0" collapsed="false">
      <c r="A18" s="34" t="str">
        <f aca="false">Inputs!A139</f>
        <v>Tier</v>
      </c>
      <c r="B18" s="34" t="str">
        <f aca="false">Inputs!B139</f>
        <v>Include</v>
      </c>
      <c r="C18" s="34" t="str">
        <f aca="false">Inputs!C139</f>
        <v>Company</v>
      </c>
      <c r="D18" s="34" t="str">
        <f aca="false">Inputs!D139</f>
        <v>Ticker</v>
      </c>
      <c r="E18" s="69"/>
      <c r="F18" s="69"/>
      <c r="G18" s="69"/>
    </row>
    <row r="19" customFormat="false" ht="15" hidden="false" customHeight="false" outlineLevel="0" collapsed="false">
      <c r="A19" s="34" t="n">
        <f aca="false">Inputs!A140</f>
        <v>1</v>
      </c>
      <c r="B19" s="40" t="b">
        <f aca="false">Inputs!B140</f>
        <v>1</v>
      </c>
      <c r="C19" s="34" t="str">
        <f aca="false">Inputs!C140</f>
        <v>Atlassian</v>
      </c>
      <c r="D19" s="34" t="str">
        <f aca="false">Inputs!D140</f>
        <v>NASDAQ:TEAM</v>
      </c>
      <c r="E19" s="69"/>
      <c r="F19" s="69"/>
      <c r="G19" s="69"/>
    </row>
    <row r="20" customFormat="false" ht="15" hidden="false" customHeight="false" outlineLevel="0" collapsed="false">
      <c r="A20" s="34" t="n">
        <f aca="false">Inputs!A141</f>
        <v>1</v>
      </c>
      <c r="B20" s="40" t="b">
        <f aca="false">Inputs!B141</f>
        <v>1</v>
      </c>
      <c r="C20" s="34" t="str">
        <f aca="false">Inputs!C141</f>
        <v>Datadog</v>
      </c>
      <c r="D20" s="34" t="str">
        <f aca="false">Inputs!D141</f>
        <v>NASDAQ:DDOG</v>
      </c>
      <c r="E20" s="69"/>
      <c r="F20" s="69"/>
      <c r="G20" s="69"/>
    </row>
    <row r="21" customFormat="false" ht="15" hidden="false" customHeight="false" outlineLevel="0" collapsed="false">
      <c r="A21" s="34" t="n">
        <f aca="false">Inputs!A142</f>
        <v>2</v>
      </c>
      <c r="B21" s="40" t="b">
        <f aca="false">Inputs!B142</f>
        <v>1</v>
      </c>
      <c r="C21" s="34" t="str">
        <f aca="false">Inputs!C142</f>
        <v>MongoDB</v>
      </c>
      <c r="D21" s="34" t="str">
        <f aca="false">Inputs!D142</f>
        <v>NASDAQ:MDB</v>
      </c>
      <c r="E21" s="69"/>
      <c r="F21" s="69"/>
      <c r="G21" s="69"/>
    </row>
    <row r="22" customFormat="false" ht="15" hidden="false" customHeight="false" outlineLevel="0" collapsed="false">
      <c r="A22" s="34" t="n">
        <f aca="false">Inputs!A143</f>
        <v>3</v>
      </c>
      <c r="B22" s="40" t="b">
        <f aca="false">Inputs!B143</f>
        <v>1</v>
      </c>
      <c r="C22" s="34" t="str">
        <f aca="false">Inputs!C143</f>
        <v>Box</v>
      </c>
      <c r="D22" s="34" t="str">
        <f aca="false">Inputs!D143</f>
        <v>NASDAQ:BOX</v>
      </c>
      <c r="E22" s="69"/>
      <c r="F22" s="69"/>
      <c r="G22" s="69"/>
    </row>
    <row r="23" customFormat="false" ht="15" hidden="false" customHeight="false" outlineLevel="0" collapsed="false">
      <c r="A23" s="34" t="n">
        <f aca="false">Inputs!A144</f>
        <v>0</v>
      </c>
      <c r="B23" s="34" t="n">
        <f aca="false">Inputs!B144</f>
        <v>0</v>
      </c>
      <c r="C23" s="34" t="n">
        <f aca="false">Inputs!C144</f>
        <v>0</v>
      </c>
      <c r="D23" s="34" t="n">
        <f aca="false">Inputs!D144</f>
        <v>0</v>
      </c>
      <c r="E23" s="69"/>
      <c r="F23" s="69"/>
      <c r="G23" s="69"/>
    </row>
    <row r="24" customFormat="false" ht="15" hidden="false" customHeight="false" outlineLevel="0" collapsed="false">
      <c r="A24" s="34" t="n">
        <f aca="false">Inputs!A145</f>
        <v>0</v>
      </c>
      <c r="B24" s="34" t="n">
        <f aca="false">Inputs!B145</f>
        <v>0</v>
      </c>
      <c r="C24" s="34" t="n">
        <f aca="false">Inputs!C145</f>
        <v>0</v>
      </c>
      <c r="D24" s="34" t="n">
        <f aca="false">Inputs!D145</f>
        <v>0</v>
      </c>
      <c r="E24" s="69"/>
      <c r="F24" s="69"/>
      <c r="G24" s="69"/>
    </row>
    <row r="25" customFormat="false" ht="15" hidden="false" customHeight="false" outlineLevel="0" collapsed="false">
      <c r="A25" s="34" t="n">
        <f aca="false">Inputs!A146</f>
        <v>0</v>
      </c>
      <c r="B25" s="34" t="n">
        <f aca="false">Inputs!B146</f>
        <v>0</v>
      </c>
      <c r="C25" s="34" t="n">
        <f aca="false">Inputs!C146</f>
        <v>0</v>
      </c>
      <c r="D25" s="34" t="n">
        <f aca="false">Inputs!D146</f>
        <v>0</v>
      </c>
      <c r="E25" s="69"/>
      <c r="F25" s="69"/>
      <c r="G25" s="69"/>
    </row>
    <row r="26" customFormat="false" ht="15" hidden="false" customHeight="false" outlineLevel="0" collapsed="false">
      <c r="A26" s="34" t="n">
        <f aca="false">Inputs!A147</f>
        <v>0</v>
      </c>
      <c r="B26" s="34" t="n">
        <f aca="false">Inputs!B147</f>
        <v>0</v>
      </c>
      <c r="C26" s="34" t="n">
        <f aca="false">Inputs!C147</f>
        <v>0</v>
      </c>
      <c r="D26" s="34" t="n">
        <f aca="false">Inputs!D147</f>
        <v>0</v>
      </c>
      <c r="E26" s="69"/>
      <c r="F26" s="69"/>
      <c r="G26" s="69"/>
    </row>
    <row r="27" customFormat="false" ht="15" hidden="false" customHeight="false" outlineLevel="0" collapsed="false">
      <c r="A27" s="34" t="n">
        <f aca="false">Inputs!A148</f>
        <v>0</v>
      </c>
      <c r="B27" s="34" t="n">
        <f aca="false">Inputs!B148</f>
        <v>0</v>
      </c>
      <c r="C27" s="34" t="n">
        <f aca="false">Inputs!C148</f>
        <v>0</v>
      </c>
      <c r="D27" s="34" t="n">
        <f aca="false">Inputs!D148</f>
        <v>0</v>
      </c>
      <c r="E27" s="69"/>
      <c r="F27" s="69"/>
      <c r="G27" s="69"/>
    </row>
    <row r="28" customFormat="false" ht="15" hidden="false" customHeight="false" outlineLevel="0" collapsed="false">
      <c r="A28" s="34" t="n">
        <f aca="false">Inputs!A149</f>
        <v>0</v>
      </c>
      <c r="B28" s="34" t="n">
        <f aca="false">Inputs!B149</f>
        <v>0</v>
      </c>
      <c r="C28" s="34" t="n">
        <f aca="false">Inputs!C149</f>
        <v>0</v>
      </c>
      <c r="D28" s="34" t="n">
        <f aca="false">Inputs!D149</f>
        <v>0</v>
      </c>
      <c r="E28" s="69"/>
      <c r="F28" s="69"/>
      <c r="G28" s="69"/>
    </row>
    <row r="29" customFormat="false" ht="15" hidden="false" customHeight="false" outlineLevel="0" collapsed="false">
      <c r="A29" s="34" t="n">
        <f aca="false">Inputs!A150</f>
        <v>0</v>
      </c>
      <c r="B29" s="34" t="n">
        <f aca="false">Inputs!B150</f>
        <v>0</v>
      </c>
      <c r="C29" s="34" t="n">
        <f aca="false">Inputs!C150</f>
        <v>0</v>
      </c>
      <c r="D29" s="34" t="n">
        <f aca="false">Inputs!D150</f>
        <v>0</v>
      </c>
      <c r="E29" s="69"/>
      <c r="F29" s="69"/>
      <c r="G29" s="69"/>
    </row>
    <row r="30" customFormat="false" ht="15" hidden="false" customHeight="false" outlineLevel="0" collapsed="false">
      <c r="A30" s="34" t="n">
        <f aca="false">Inputs!A151</f>
        <v>0</v>
      </c>
      <c r="B30" s="34" t="n">
        <f aca="false">Inputs!B151</f>
        <v>0</v>
      </c>
      <c r="C30" s="34" t="n">
        <f aca="false">Inputs!C151</f>
        <v>0</v>
      </c>
      <c r="D30" s="34" t="n">
        <f aca="false">Inputs!D151</f>
        <v>0</v>
      </c>
      <c r="E30" s="69"/>
      <c r="F30" s="69"/>
      <c r="G30" s="69"/>
    </row>
    <row r="31" customFormat="false" ht="15" hidden="false" customHeight="false" outlineLevel="0" collapsed="false">
      <c r="A31" s="34" t="n">
        <f aca="false">Inputs!A152</f>
        <v>0</v>
      </c>
      <c r="B31" s="34" t="n">
        <f aca="false">Inputs!B152</f>
        <v>0</v>
      </c>
      <c r="C31" s="34" t="n">
        <f aca="false">Inputs!C152</f>
        <v>0</v>
      </c>
      <c r="D31" s="34" t="n">
        <f aca="false">Inputs!D152</f>
        <v>0</v>
      </c>
      <c r="E31" s="69"/>
      <c r="F31" s="69"/>
      <c r="G31" s="69"/>
    </row>
    <row r="32" customFormat="false" ht="15" hidden="false" customHeight="false" outlineLevel="0" collapsed="false">
      <c r="A32" s="34" t="n">
        <f aca="false">Inputs!A153</f>
        <v>0</v>
      </c>
      <c r="B32" s="34" t="n">
        <f aca="false">Inputs!B153</f>
        <v>0</v>
      </c>
      <c r="C32" s="34" t="n">
        <f aca="false">Inputs!C153</f>
        <v>0</v>
      </c>
      <c r="D32" s="34" t="n">
        <f aca="false">Inputs!D153</f>
        <v>0</v>
      </c>
      <c r="E32" s="69"/>
      <c r="F32" s="69"/>
      <c r="G32" s="69"/>
    </row>
    <row r="33" customFormat="false" ht="15" hidden="false" customHeight="false" outlineLevel="0" collapsed="false">
      <c r="A33" s="34" t="n">
        <f aca="false">Inputs!A154</f>
        <v>0</v>
      </c>
      <c r="B33" s="34" t="n">
        <f aca="false">Inputs!B154</f>
        <v>0</v>
      </c>
      <c r="C33" s="34" t="n">
        <f aca="false">Inputs!C154</f>
        <v>0</v>
      </c>
      <c r="D33" s="34" t="n">
        <f aca="false">Inputs!D154</f>
        <v>0</v>
      </c>
      <c r="E33" s="69"/>
      <c r="F33" s="69"/>
      <c r="G33" s="69"/>
    </row>
    <row r="34" customFormat="false" ht="15" hidden="false" customHeight="false" outlineLevel="0" collapsed="false">
      <c r="A34" s="34" t="n">
        <f aca="false">Inputs!A155</f>
        <v>0</v>
      </c>
      <c r="B34" s="34" t="n">
        <f aca="false">Inputs!B155</f>
        <v>0</v>
      </c>
      <c r="C34" s="34" t="n">
        <f aca="false">Inputs!C155</f>
        <v>0</v>
      </c>
      <c r="D34" s="34" t="n">
        <f aca="false">Inputs!D155</f>
        <v>0</v>
      </c>
      <c r="E34" s="69"/>
      <c r="F34" s="69"/>
      <c r="G34" s="69"/>
    </row>
    <row r="35" customFormat="false" ht="15" hidden="false" customHeight="false" outlineLevel="0" collapsed="false">
      <c r="A35" s="34" t="n">
        <f aca="false">Inputs!A156</f>
        <v>0</v>
      </c>
      <c r="B35" s="34" t="n">
        <f aca="false">Inputs!B156</f>
        <v>0</v>
      </c>
      <c r="C35" s="34" t="n">
        <f aca="false">Inputs!C156</f>
        <v>0</v>
      </c>
      <c r="D35" s="34" t="n">
        <f aca="false">Inputs!D156</f>
        <v>0</v>
      </c>
      <c r="E35" s="69"/>
      <c r="F35" s="69"/>
      <c r="G35" s="69"/>
    </row>
    <row r="37" customFormat="false" ht="15" hidden="false" customHeight="false" outlineLevel="0" collapsed="false">
      <c r="D37" s="47" t="s">
        <v>714</v>
      </c>
      <c r="E37" s="70" t="n">
        <f aca="false">IFERROR(MAX(E6:E35),"n/a")</f>
        <v>0.62</v>
      </c>
      <c r="F37" s="70" t="n">
        <f aca="false">IFERROR(MAX(F6:F35),"n/a")</f>
        <v>0.22</v>
      </c>
      <c r="G37" s="70" t="n">
        <f aca="false">IFERROR(MAX(G6:G35),"n/a")</f>
        <v>0.16</v>
      </c>
    </row>
    <row r="38" customFormat="false" ht="15" hidden="false" customHeight="false" outlineLevel="0" collapsed="false">
      <c r="D38" s="47" t="s">
        <v>715</v>
      </c>
      <c r="E38" s="70" t="n">
        <f aca="false">IFERROR(QUARTILE(E6:E35,3),"n/a")</f>
        <v>0.5675</v>
      </c>
      <c r="F38" s="70" t="n">
        <f aca="false">IFERROR(QUARTILE(F6:F35,3),"n/a")</f>
        <v>0.19</v>
      </c>
      <c r="G38" s="70" t="n">
        <f aca="false">IFERROR(QUARTILE(G6:G35,3),"n/a")</f>
        <v>0.13</v>
      </c>
    </row>
    <row r="39" customFormat="false" ht="15" hidden="false" customHeight="false" outlineLevel="0" collapsed="false">
      <c r="D39" s="47" t="s">
        <v>158</v>
      </c>
      <c r="E39" s="71" t="n">
        <f aca="false">IFERROR(MEDIAN(E6:E35),"n/a")</f>
        <v>0.535</v>
      </c>
      <c r="F39" s="71" t="n">
        <f aca="false">IFERROR(MEDIAN(F6:F35),"n/a")</f>
        <v>0.17</v>
      </c>
      <c r="G39" s="71" t="n">
        <f aca="false">IFERROR(MEDIAN(G6:G35),"n/a")</f>
        <v>0.11</v>
      </c>
    </row>
    <row r="40" customFormat="false" ht="15" hidden="false" customHeight="false" outlineLevel="0" collapsed="false">
      <c r="D40" s="47" t="s">
        <v>161</v>
      </c>
      <c r="E40" s="70" t="n">
        <f aca="false">IFERROR(AVERAGE(E6:E35),"n/a")</f>
        <v>0.5425</v>
      </c>
      <c r="F40" s="70" t="n">
        <f aca="false">IFERROR(AVERAGE(F6:F35),"n/a")</f>
        <v>0.175</v>
      </c>
      <c r="G40" s="70" t="n">
        <f aca="false">IFERROR(AVERAGE(G6:G35),"n/a")</f>
        <v>0.1175</v>
      </c>
    </row>
    <row r="41" customFormat="false" ht="15" hidden="false" customHeight="false" outlineLevel="0" collapsed="false">
      <c r="D41" s="47" t="s">
        <v>716</v>
      </c>
      <c r="E41" s="70" t="n">
        <f aca="false">IFERROR(QUARTILE(E6:E35,1),"n/a")</f>
        <v>0.51</v>
      </c>
      <c r="F41" s="70" t="n">
        <f aca="false">IFERROR(QUARTILE(F6:F35,1),"n/a")</f>
        <v>0.155</v>
      </c>
      <c r="G41" s="70" t="n">
        <f aca="false">IFERROR(QUARTILE(G6:G35,1),"n/a")</f>
        <v>0.0975</v>
      </c>
    </row>
    <row r="42" customFormat="false" ht="15" hidden="false" customHeight="false" outlineLevel="0" collapsed="false">
      <c r="D42" s="47" t="s">
        <v>717</v>
      </c>
      <c r="E42" s="70" t="n">
        <f aca="false">IFERROR(MIN(E6:E35),"n/a")</f>
        <v>0.48</v>
      </c>
      <c r="F42" s="70" t="n">
        <f aca="false">IFERROR(MIN(F6:F35),"n/a")</f>
        <v>0.14</v>
      </c>
      <c r="G42" s="70" t="n">
        <f aca="false">IFERROR(MIN(G6:G35),"n/a")</f>
        <v>0.09</v>
      </c>
    </row>
    <row r="44" customFormat="false" ht="15" hidden="false" customHeight="false" outlineLevel="0" collapsed="false">
      <c r="D44" s="67" t="s">
        <v>718</v>
      </c>
    </row>
    <row r="45" customFormat="false" ht="15" hidden="false" customHeight="false" outlineLevel="0" collapsed="false">
      <c r="D45" s="4" t="s">
        <v>719</v>
      </c>
      <c r="E45" s="45" t="str">
        <f aca="false">IFERROR(AVERAGEIFS(E6:E35,$A$6:$A$35,1,$B$6:$B$35,TRUE()),"n/a")</f>
        <v>n/a</v>
      </c>
      <c r="F45" s="45" t="str">
        <f aca="false">IFERROR(AVERAGEIFS(F6:F35,$A$6:$A$35,1,$B$6:$B$35,TRUE()),"n/a")</f>
        <v>n/a</v>
      </c>
      <c r="G45" s="45" t="str">
        <f aca="false">IFERROR(AVERAGEIFS(G6:G35,$A$6:$A$35,1,$B$6:$B$35,TRUE()),"n/a")</f>
        <v>n/a</v>
      </c>
    </row>
    <row r="46" customFormat="false" ht="15" hidden="false" customHeight="false" outlineLevel="0" collapsed="false">
      <c r="D46" s="4" t="s">
        <v>720</v>
      </c>
      <c r="E46" s="45" t="str">
        <f aca="false">IFERROR(AVERAGEIFS(E6:E35,$A$6:$A$35,2,$B$6:$B$35,TRUE()),"n/a")</f>
        <v>n/a</v>
      </c>
      <c r="F46" s="45" t="str">
        <f aca="false">IFERROR(AVERAGEIFS(F6:F35,$A$6:$A$35,2,$B$6:$B$35,TRUE()),"n/a")</f>
        <v>n/a</v>
      </c>
      <c r="G46" s="45" t="str">
        <f aca="false">IFERROR(AVERAGEIFS(G6:G35,$A$6:$A$35,2,$B$6:$B$35,TRUE()),"n/a")</f>
        <v>n/a</v>
      </c>
    </row>
    <row r="47" customFormat="false" ht="15" hidden="false" customHeight="false" outlineLevel="0" collapsed="false">
      <c r="D47" s="4" t="s">
        <v>721</v>
      </c>
      <c r="E47" s="45" t="str">
        <f aca="false">IFERROR(AVERAGEIFS(E6:E35,$A$6:$A$35,3,$B$6:$B$35,TRUE()),"n/a")</f>
        <v>n/a</v>
      </c>
      <c r="F47" s="45" t="str">
        <f aca="false">IFERROR(AVERAGEIFS(F6:F35,$A$6:$A$35,3,$B$6:$B$35,TRUE()),"n/a")</f>
        <v>n/a</v>
      </c>
      <c r="G47" s="45" t="str">
        <f aca="false">IFERROR(AVERAGEIFS(G6:G35,$A$6:$A$35,3,$B$6:$B$35,TRUE()),"n/a")</f>
        <v>n/a</v>
      </c>
    </row>
  </sheetData>
  <mergeCells count="2">
    <mergeCell ref="A1:H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4"/>
    <col collapsed="false" customWidth="true" hidden="false" outlineLevel="0" max="8" min="4" style="0" width="14"/>
  </cols>
  <sheetData>
    <row r="1" customFormat="false" ht="21.75" hidden="false" customHeight="true" outlineLevel="0" collapsed="false">
      <c r="A1" s="1" t="s">
        <v>724</v>
      </c>
      <c r="B1" s="1"/>
      <c r="C1" s="1"/>
      <c r="D1" s="1"/>
      <c r="E1" s="1"/>
      <c r="F1" s="1"/>
      <c r="G1" s="1"/>
      <c r="H1" s="1"/>
    </row>
    <row r="2" customFormat="false" ht="15" hidden="false" customHeight="false" outlineLevel="0" collapsed="false">
      <c r="A2" s="2" t="s">
        <v>709</v>
      </c>
      <c r="B2" s="2"/>
      <c r="C2" s="2"/>
      <c r="D2" s="2"/>
      <c r="E2" s="2"/>
      <c r="F2" s="2"/>
      <c r="G2" s="2"/>
      <c r="H2" s="2"/>
    </row>
    <row r="4" customFormat="false" ht="15" hidden="false" customHeight="false" outlineLevel="0" collapsed="false">
      <c r="A4" s="22" t="s">
        <v>470</v>
      </c>
      <c r="B4" s="22" t="s">
        <v>471</v>
      </c>
      <c r="C4" s="22" t="s">
        <v>3</v>
      </c>
      <c r="D4" s="22" t="s">
        <v>472</v>
      </c>
      <c r="E4" s="22" t="s">
        <v>725</v>
      </c>
      <c r="F4" s="22" t="s">
        <v>726</v>
      </c>
      <c r="G4" s="22" t="s">
        <v>727</v>
      </c>
      <c r="H4" s="22" t="s">
        <v>728</v>
      </c>
    </row>
    <row r="6" customFormat="false" ht="15" hidden="false" customHeight="false" outlineLevel="0" collapsed="false">
      <c r="A6" s="34" t="str">
        <f aca="false">Inputs!A127</f>
        <v>selected_mid</v>
      </c>
      <c r="B6" s="34" t="str">
        <f aca="false">Inputs!B127</f>
        <v>Selected valuation mid</v>
      </c>
      <c r="C6" s="34" t="str">
        <f aca="false">Inputs!C127</f>
        <v>currency</v>
      </c>
      <c r="D6" s="34" t="n">
        <f aca="false">Inputs!D127</f>
        <v>0</v>
      </c>
      <c r="E6" s="69" t="n">
        <v>0.18</v>
      </c>
      <c r="F6" s="69" t="n">
        <v>0.08</v>
      </c>
      <c r="G6" s="61" t="n">
        <v>0.2</v>
      </c>
      <c r="H6" s="61" t="n">
        <v>2.1</v>
      </c>
    </row>
    <row r="7" customFormat="false" ht="15" hidden="false" customHeight="false" outlineLevel="0" collapsed="false">
      <c r="A7" s="34" t="str">
        <f aca="false">Inputs!A128</f>
        <v>selected_high</v>
      </c>
      <c r="B7" s="34" t="str">
        <f aca="false">Inputs!B128</f>
        <v>Selected valuation high</v>
      </c>
      <c r="C7" s="34" t="str">
        <f aca="false">Inputs!C128</f>
        <v>currency</v>
      </c>
      <c r="D7" s="34" t="n">
        <f aca="false">Inputs!D128</f>
        <v>0</v>
      </c>
      <c r="E7" s="69" t="n">
        <v>0.16</v>
      </c>
      <c r="F7" s="69" t="n">
        <v>0.07</v>
      </c>
      <c r="G7" s="61" t="n">
        <v>0.25</v>
      </c>
      <c r="H7" s="61" t="n">
        <v>1.9</v>
      </c>
    </row>
    <row r="8" customFormat="false" ht="15" hidden="false" customHeight="false" outlineLevel="0" collapsed="false">
      <c r="A8" s="34" t="n">
        <f aca="false">Inputs!A129</f>
        <v>0</v>
      </c>
      <c r="B8" s="34" t="n">
        <f aca="false">Inputs!B129</f>
        <v>0</v>
      </c>
      <c r="C8" s="34" t="n">
        <f aca="false">Inputs!C129</f>
        <v>0</v>
      </c>
      <c r="D8" s="34" t="n">
        <f aca="false">Inputs!D129</f>
        <v>0</v>
      </c>
      <c r="E8" s="69" t="n">
        <v>0.22</v>
      </c>
      <c r="F8" s="69" t="n">
        <v>0.1</v>
      </c>
      <c r="G8" s="61" t="n">
        <v>0.15</v>
      </c>
      <c r="H8" s="61" t="n">
        <v>2.5</v>
      </c>
    </row>
    <row r="9" customFormat="false" ht="15" hidden="false" customHeight="false" outlineLevel="0" collapsed="false">
      <c r="A9" s="34" t="str">
        <f aca="false">Inputs!A130</f>
        <v>Section L — Sensitivity ranges  (Extended)</v>
      </c>
      <c r="B9" s="34" t="n">
        <f aca="false">Inputs!B130</f>
        <v>0</v>
      </c>
      <c r="C9" s="34" t="n">
        <f aca="false">Inputs!C130</f>
        <v>0</v>
      </c>
      <c r="D9" s="34" t="n">
        <f aca="false">Inputs!D130</f>
        <v>0</v>
      </c>
      <c r="E9" s="69" t="n">
        <v>0.14</v>
      </c>
      <c r="F9" s="69" t="n">
        <v>0.06</v>
      </c>
      <c r="G9" s="61" t="n">
        <v>0.3</v>
      </c>
      <c r="H9" s="61" t="n">
        <v>1.7</v>
      </c>
    </row>
    <row r="10" customFormat="false" ht="15" hidden="false" customHeight="false" outlineLevel="0" collapsed="false">
      <c r="A10" s="34" t="str">
        <f aca="false">Inputs!A131</f>
        <v>sens_wacc_step</v>
      </c>
      <c r="B10" s="34" t="str">
        <f aca="false">Inputs!B131</f>
        <v>WACC sensitivity step</v>
      </c>
      <c r="C10" s="34" t="str">
        <f aca="false">Inputs!C131</f>
        <v>percentage</v>
      </c>
      <c r="D10" s="34" t="n">
        <f aca="false">Inputs!D131</f>
        <v>0.005</v>
      </c>
      <c r="E10" s="69"/>
      <c r="F10" s="69"/>
      <c r="G10" s="61"/>
      <c r="H10" s="61"/>
    </row>
    <row r="11" customFormat="false" ht="15" hidden="false" customHeight="false" outlineLevel="0" collapsed="false">
      <c r="A11" s="34" t="str">
        <f aca="false">Inputs!A132</f>
        <v>sens_wacc_count</v>
      </c>
      <c r="B11" s="34" t="str">
        <f aca="false">Inputs!B132</f>
        <v>WACC steps each side of base</v>
      </c>
      <c r="C11" s="34" t="str">
        <f aca="false">Inputs!C132</f>
        <v>number</v>
      </c>
      <c r="D11" s="34" t="n">
        <f aca="false">Inputs!D132</f>
        <v>5</v>
      </c>
      <c r="E11" s="69"/>
      <c r="F11" s="69"/>
      <c r="G11" s="61"/>
      <c r="H11" s="61"/>
    </row>
    <row r="12" customFormat="false" ht="15" hidden="false" customHeight="false" outlineLevel="0" collapsed="false">
      <c r="A12" s="34" t="str">
        <f aca="false">Inputs!A133</f>
        <v>sens_terminal_g_step</v>
      </c>
      <c r="B12" s="34" t="str">
        <f aca="false">Inputs!B133</f>
        <v>Terminal g sensitivity step</v>
      </c>
      <c r="C12" s="34" t="str">
        <f aca="false">Inputs!C133</f>
        <v>percentage</v>
      </c>
      <c r="D12" s="34" t="n">
        <f aca="false">Inputs!D133</f>
        <v>0.005</v>
      </c>
      <c r="E12" s="69"/>
      <c r="F12" s="69"/>
      <c r="G12" s="61"/>
      <c r="H12" s="61"/>
    </row>
    <row r="13" customFormat="false" ht="15" hidden="false" customHeight="false" outlineLevel="0" collapsed="false">
      <c r="A13" s="34" t="str">
        <f aca="false">Inputs!A134</f>
        <v>sens_terminal_g_count</v>
      </c>
      <c r="B13" s="34" t="str">
        <f aca="false">Inputs!B134</f>
        <v>Terminal g steps each side</v>
      </c>
      <c r="C13" s="34" t="str">
        <f aca="false">Inputs!C134</f>
        <v>number</v>
      </c>
      <c r="D13" s="34" t="n">
        <f aca="false">Inputs!D134</f>
        <v>5</v>
      </c>
      <c r="E13" s="69"/>
      <c r="F13" s="69"/>
      <c r="G13" s="61"/>
      <c r="H13" s="61"/>
    </row>
    <row r="14" customFormat="false" ht="15" hidden="false" customHeight="false" outlineLevel="0" collapsed="false">
      <c r="A14" s="34" t="str">
        <f aca="false">Inputs!A135</f>
        <v>sens_revenue_g_step</v>
      </c>
      <c r="B14" s="34" t="str">
        <f aca="false">Inputs!B135</f>
        <v>Revenue growth sens step</v>
      </c>
      <c r="C14" s="34" t="str">
        <f aca="false">Inputs!C135</f>
        <v>percentage</v>
      </c>
      <c r="D14" s="34" t="n">
        <f aca="false">Inputs!D135</f>
        <v>0.02</v>
      </c>
      <c r="E14" s="69"/>
      <c r="F14" s="69"/>
      <c r="G14" s="61"/>
      <c r="H14" s="61"/>
    </row>
    <row r="15" customFormat="false" ht="15" hidden="false" customHeight="false" outlineLevel="0" collapsed="false">
      <c r="A15" s="34" t="str">
        <f aca="false">Inputs!A136</f>
        <v>sens_ebitda_margin_step</v>
      </c>
      <c r="B15" s="34" t="str">
        <f aca="false">Inputs!B136</f>
        <v>EBITDA margin sens step</v>
      </c>
      <c r="C15" s="34" t="str">
        <f aca="false">Inputs!C136</f>
        <v>percentage</v>
      </c>
      <c r="D15" s="34" t="n">
        <f aca="false">Inputs!D136</f>
        <v>0.02</v>
      </c>
      <c r="E15" s="69"/>
      <c r="F15" s="69"/>
      <c r="G15" s="61"/>
      <c r="H15" s="61"/>
    </row>
    <row r="16" customFormat="false" ht="15" hidden="false" customHeight="false" outlineLevel="0" collapsed="false">
      <c r="A16" s="34" t="n">
        <f aca="false">Inputs!A137</f>
        <v>0</v>
      </c>
      <c r="B16" s="34" t="n">
        <f aca="false">Inputs!B137</f>
        <v>0</v>
      </c>
      <c r="C16" s="34" t="n">
        <f aca="false">Inputs!C137</f>
        <v>0</v>
      </c>
      <c r="D16" s="34" t="n">
        <f aca="false">Inputs!D137</f>
        <v>0</v>
      </c>
      <c r="E16" s="69"/>
      <c r="F16" s="69"/>
      <c r="G16" s="61"/>
      <c r="H16" s="61"/>
    </row>
    <row r="17" customFormat="false" ht="15" hidden="false" customHeight="false" outlineLevel="0" collapsed="false">
      <c r="A17" s="34" t="str">
        <f aca="false">Inputs!A138</f>
        <v>Section G — Comparable companies table  (Core)</v>
      </c>
      <c r="B17" s="34" t="n">
        <f aca="false">Inputs!B138</f>
        <v>0</v>
      </c>
      <c r="C17" s="34" t="n">
        <f aca="false">Inputs!C138</f>
        <v>0</v>
      </c>
      <c r="D17" s="34" t="n">
        <f aca="false">Inputs!D138</f>
        <v>0</v>
      </c>
      <c r="E17" s="69"/>
      <c r="F17" s="69"/>
      <c r="G17" s="61"/>
      <c r="H17" s="61"/>
    </row>
    <row r="18" customFormat="false" ht="15" hidden="false" customHeight="false" outlineLevel="0" collapsed="false">
      <c r="A18" s="34" t="str">
        <f aca="false">Inputs!A139</f>
        <v>Tier</v>
      </c>
      <c r="B18" s="34" t="str">
        <f aca="false">Inputs!B139</f>
        <v>Include</v>
      </c>
      <c r="C18" s="34" t="str">
        <f aca="false">Inputs!C139</f>
        <v>Company</v>
      </c>
      <c r="D18" s="34" t="str">
        <f aca="false">Inputs!D139</f>
        <v>Ticker</v>
      </c>
      <c r="E18" s="69"/>
      <c r="F18" s="69"/>
      <c r="G18" s="61"/>
      <c r="H18" s="61"/>
    </row>
    <row r="19" customFormat="false" ht="15" hidden="false" customHeight="false" outlineLevel="0" collapsed="false">
      <c r="A19" s="34" t="n">
        <f aca="false">Inputs!A140</f>
        <v>1</v>
      </c>
      <c r="B19" s="40" t="b">
        <f aca="false">Inputs!B140</f>
        <v>1</v>
      </c>
      <c r="C19" s="34" t="str">
        <f aca="false">Inputs!C140</f>
        <v>Atlassian</v>
      </c>
      <c r="D19" s="34" t="str">
        <f aca="false">Inputs!D140</f>
        <v>NASDAQ:TEAM</v>
      </c>
      <c r="E19" s="69"/>
      <c r="F19" s="69"/>
      <c r="G19" s="61"/>
      <c r="H19" s="61"/>
    </row>
    <row r="20" customFormat="false" ht="15" hidden="false" customHeight="false" outlineLevel="0" collapsed="false">
      <c r="A20" s="34" t="n">
        <f aca="false">Inputs!A141</f>
        <v>1</v>
      </c>
      <c r="B20" s="40" t="b">
        <f aca="false">Inputs!B141</f>
        <v>1</v>
      </c>
      <c r="C20" s="34" t="str">
        <f aca="false">Inputs!C141</f>
        <v>Datadog</v>
      </c>
      <c r="D20" s="34" t="str">
        <f aca="false">Inputs!D141</f>
        <v>NASDAQ:DDOG</v>
      </c>
      <c r="E20" s="69"/>
      <c r="F20" s="69"/>
      <c r="G20" s="61"/>
      <c r="H20" s="61"/>
    </row>
    <row r="21" customFormat="false" ht="15" hidden="false" customHeight="false" outlineLevel="0" collapsed="false">
      <c r="A21" s="34" t="n">
        <f aca="false">Inputs!A142</f>
        <v>2</v>
      </c>
      <c r="B21" s="40" t="b">
        <f aca="false">Inputs!B142</f>
        <v>1</v>
      </c>
      <c r="C21" s="34" t="str">
        <f aca="false">Inputs!C142</f>
        <v>MongoDB</v>
      </c>
      <c r="D21" s="34" t="str">
        <f aca="false">Inputs!D142</f>
        <v>NASDAQ:MDB</v>
      </c>
      <c r="E21" s="69"/>
      <c r="F21" s="69"/>
      <c r="G21" s="61"/>
      <c r="H21" s="61"/>
    </row>
    <row r="22" customFormat="false" ht="15" hidden="false" customHeight="false" outlineLevel="0" collapsed="false">
      <c r="A22" s="34" t="n">
        <f aca="false">Inputs!A143</f>
        <v>3</v>
      </c>
      <c r="B22" s="40" t="b">
        <f aca="false">Inputs!B143</f>
        <v>1</v>
      </c>
      <c r="C22" s="34" t="str">
        <f aca="false">Inputs!C143</f>
        <v>Box</v>
      </c>
      <c r="D22" s="34" t="str">
        <f aca="false">Inputs!D143</f>
        <v>NASDAQ:BOX</v>
      </c>
      <c r="E22" s="69"/>
      <c r="F22" s="69"/>
      <c r="G22" s="61"/>
      <c r="H22" s="61"/>
    </row>
    <row r="23" customFormat="false" ht="15" hidden="false" customHeight="false" outlineLevel="0" collapsed="false">
      <c r="A23" s="34" t="n">
        <f aca="false">Inputs!A144</f>
        <v>0</v>
      </c>
      <c r="B23" s="34" t="n">
        <f aca="false">Inputs!B144</f>
        <v>0</v>
      </c>
      <c r="C23" s="34" t="n">
        <f aca="false">Inputs!C144</f>
        <v>0</v>
      </c>
      <c r="D23" s="34" t="n">
        <f aca="false">Inputs!D144</f>
        <v>0</v>
      </c>
      <c r="E23" s="69"/>
      <c r="F23" s="69"/>
      <c r="G23" s="61"/>
      <c r="H23" s="61"/>
    </row>
    <row r="24" customFormat="false" ht="15" hidden="false" customHeight="false" outlineLevel="0" collapsed="false">
      <c r="A24" s="34" t="n">
        <f aca="false">Inputs!A145</f>
        <v>0</v>
      </c>
      <c r="B24" s="34" t="n">
        <f aca="false">Inputs!B145</f>
        <v>0</v>
      </c>
      <c r="C24" s="34" t="n">
        <f aca="false">Inputs!C145</f>
        <v>0</v>
      </c>
      <c r="D24" s="34" t="n">
        <f aca="false">Inputs!D145</f>
        <v>0</v>
      </c>
      <c r="E24" s="69"/>
      <c r="F24" s="69"/>
      <c r="G24" s="61"/>
      <c r="H24" s="61"/>
    </row>
    <row r="25" customFormat="false" ht="15" hidden="false" customHeight="false" outlineLevel="0" collapsed="false">
      <c r="A25" s="34" t="n">
        <f aca="false">Inputs!A146</f>
        <v>0</v>
      </c>
      <c r="B25" s="34" t="n">
        <f aca="false">Inputs!B146</f>
        <v>0</v>
      </c>
      <c r="C25" s="34" t="n">
        <f aca="false">Inputs!C146</f>
        <v>0</v>
      </c>
      <c r="D25" s="34" t="n">
        <f aca="false">Inputs!D146</f>
        <v>0</v>
      </c>
      <c r="E25" s="69"/>
      <c r="F25" s="69"/>
      <c r="G25" s="61"/>
      <c r="H25" s="61"/>
    </row>
    <row r="26" customFormat="false" ht="15" hidden="false" customHeight="false" outlineLevel="0" collapsed="false">
      <c r="A26" s="34" t="n">
        <f aca="false">Inputs!A147</f>
        <v>0</v>
      </c>
      <c r="B26" s="34" t="n">
        <f aca="false">Inputs!B147</f>
        <v>0</v>
      </c>
      <c r="C26" s="34" t="n">
        <f aca="false">Inputs!C147</f>
        <v>0</v>
      </c>
      <c r="D26" s="34" t="n">
        <f aca="false">Inputs!D147</f>
        <v>0</v>
      </c>
      <c r="E26" s="69"/>
      <c r="F26" s="69"/>
      <c r="G26" s="61"/>
      <c r="H26" s="61"/>
    </row>
    <row r="27" customFormat="false" ht="15" hidden="false" customHeight="false" outlineLevel="0" collapsed="false">
      <c r="A27" s="34" t="n">
        <f aca="false">Inputs!A148</f>
        <v>0</v>
      </c>
      <c r="B27" s="34" t="n">
        <f aca="false">Inputs!B148</f>
        <v>0</v>
      </c>
      <c r="C27" s="34" t="n">
        <f aca="false">Inputs!C148</f>
        <v>0</v>
      </c>
      <c r="D27" s="34" t="n">
        <f aca="false">Inputs!D148</f>
        <v>0</v>
      </c>
      <c r="E27" s="69"/>
      <c r="F27" s="69"/>
      <c r="G27" s="61"/>
      <c r="H27" s="61"/>
    </row>
    <row r="28" customFormat="false" ht="15" hidden="false" customHeight="false" outlineLevel="0" collapsed="false">
      <c r="A28" s="34" t="n">
        <f aca="false">Inputs!A149</f>
        <v>0</v>
      </c>
      <c r="B28" s="34" t="n">
        <f aca="false">Inputs!B149</f>
        <v>0</v>
      </c>
      <c r="C28" s="34" t="n">
        <f aca="false">Inputs!C149</f>
        <v>0</v>
      </c>
      <c r="D28" s="34" t="n">
        <f aca="false">Inputs!D149</f>
        <v>0</v>
      </c>
      <c r="E28" s="69"/>
      <c r="F28" s="69"/>
      <c r="G28" s="61"/>
      <c r="H28" s="61"/>
    </row>
    <row r="29" customFormat="false" ht="15" hidden="false" customHeight="false" outlineLevel="0" collapsed="false">
      <c r="A29" s="34" t="n">
        <f aca="false">Inputs!A150</f>
        <v>0</v>
      </c>
      <c r="B29" s="34" t="n">
        <f aca="false">Inputs!B150</f>
        <v>0</v>
      </c>
      <c r="C29" s="34" t="n">
        <f aca="false">Inputs!C150</f>
        <v>0</v>
      </c>
      <c r="D29" s="34" t="n">
        <f aca="false">Inputs!D150</f>
        <v>0</v>
      </c>
      <c r="E29" s="69"/>
      <c r="F29" s="69"/>
      <c r="G29" s="61"/>
      <c r="H29" s="61"/>
    </row>
    <row r="30" customFormat="false" ht="15" hidden="false" customHeight="false" outlineLevel="0" collapsed="false">
      <c r="A30" s="34" t="n">
        <f aca="false">Inputs!A151</f>
        <v>0</v>
      </c>
      <c r="B30" s="34" t="n">
        <f aca="false">Inputs!B151</f>
        <v>0</v>
      </c>
      <c r="C30" s="34" t="n">
        <f aca="false">Inputs!C151</f>
        <v>0</v>
      </c>
      <c r="D30" s="34" t="n">
        <f aca="false">Inputs!D151</f>
        <v>0</v>
      </c>
      <c r="E30" s="69"/>
      <c r="F30" s="69"/>
      <c r="G30" s="61"/>
      <c r="H30" s="61"/>
    </row>
    <row r="31" customFormat="false" ht="15" hidden="false" customHeight="false" outlineLevel="0" collapsed="false">
      <c r="A31" s="34" t="n">
        <f aca="false">Inputs!A152</f>
        <v>0</v>
      </c>
      <c r="B31" s="34" t="n">
        <f aca="false">Inputs!B152</f>
        <v>0</v>
      </c>
      <c r="C31" s="34" t="n">
        <f aca="false">Inputs!C152</f>
        <v>0</v>
      </c>
      <c r="D31" s="34" t="n">
        <f aca="false">Inputs!D152</f>
        <v>0</v>
      </c>
      <c r="E31" s="69"/>
      <c r="F31" s="69"/>
      <c r="G31" s="61"/>
      <c r="H31" s="61"/>
    </row>
    <row r="32" customFormat="false" ht="15" hidden="false" customHeight="false" outlineLevel="0" collapsed="false">
      <c r="A32" s="34" t="n">
        <f aca="false">Inputs!A153</f>
        <v>0</v>
      </c>
      <c r="B32" s="34" t="n">
        <f aca="false">Inputs!B153</f>
        <v>0</v>
      </c>
      <c r="C32" s="34" t="n">
        <f aca="false">Inputs!C153</f>
        <v>0</v>
      </c>
      <c r="D32" s="34" t="n">
        <f aca="false">Inputs!D153</f>
        <v>0</v>
      </c>
      <c r="E32" s="69"/>
      <c r="F32" s="69"/>
      <c r="G32" s="61"/>
      <c r="H32" s="61"/>
    </row>
    <row r="33" customFormat="false" ht="15" hidden="false" customHeight="false" outlineLevel="0" collapsed="false">
      <c r="A33" s="34" t="n">
        <f aca="false">Inputs!A154</f>
        <v>0</v>
      </c>
      <c r="B33" s="34" t="n">
        <f aca="false">Inputs!B154</f>
        <v>0</v>
      </c>
      <c r="C33" s="34" t="n">
        <f aca="false">Inputs!C154</f>
        <v>0</v>
      </c>
      <c r="D33" s="34" t="n">
        <f aca="false">Inputs!D154</f>
        <v>0</v>
      </c>
      <c r="E33" s="69"/>
      <c r="F33" s="69"/>
      <c r="G33" s="61"/>
      <c r="H33" s="61"/>
    </row>
    <row r="34" customFormat="false" ht="15" hidden="false" customHeight="false" outlineLevel="0" collapsed="false">
      <c r="A34" s="34" t="n">
        <f aca="false">Inputs!A155</f>
        <v>0</v>
      </c>
      <c r="B34" s="34" t="n">
        <f aca="false">Inputs!B155</f>
        <v>0</v>
      </c>
      <c r="C34" s="34" t="n">
        <f aca="false">Inputs!C155</f>
        <v>0</v>
      </c>
      <c r="D34" s="34" t="n">
        <f aca="false">Inputs!D155</f>
        <v>0</v>
      </c>
      <c r="E34" s="69"/>
      <c r="F34" s="69"/>
      <c r="G34" s="61"/>
      <c r="H34" s="61"/>
    </row>
    <row r="35" customFormat="false" ht="15" hidden="false" customHeight="false" outlineLevel="0" collapsed="false">
      <c r="A35" s="34" t="n">
        <f aca="false">Inputs!A156</f>
        <v>0</v>
      </c>
      <c r="B35" s="34" t="n">
        <f aca="false">Inputs!B156</f>
        <v>0</v>
      </c>
      <c r="C35" s="34" t="n">
        <f aca="false">Inputs!C156</f>
        <v>0</v>
      </c>
      <c r="D35" s="34" t="n">
        <f aca="false">Inputs!D156</f>
        <v>0</v>
      </c>
      <c r="E35" s="69"/>
      <c r="F35" s="69"/>
      <c r="G35" s="61"/>
      <c r="H35" s="61"/>
    </row>
    <row r="37" customFormat="false" ht="15" hidden="false" customHeight="false" outlineLevel="0" collapsed="false">
      <c r="D37" s="47" t="s">
        <v>714</v>
      </c>
      <c r="E37" s="70" t="n">
        <f aca="false">IFERROR(MAX(E6:E35),"n/a")</f>
        <v>0.22</v>
      </c>
      <c r="F37" s="70" t="n">
        <f aca="false">IFERROR(MAX(F6:F35),"n/a")</f>
        <v>0.1</v>
      </c>
      <c r="G37" s="63" t="n">
        <f aca="false">IFERROR(MAX(G6:G35),"n/a")</f>
        <v>0.3</v>
      </c>
      <c r="H37" s="63" t="n">
        <f aca="false">IFERROR(MAX(H6:H35),"n/a")</f>
        <v>2.5</v>
      </c>
    </row>
    <row r="38" customFormat="false" ht="15" hidden="false" customHeight="false" outlineLevel="0" collapsed="false">
      <c r="D38" s="47" t="s">
        <v>715</v>
      </c>
      <c r="E38" s="70" t="n">
        <f aca="false">IFERROR(QUARTILE(E6:E35,3),"n/a")</f>
        <v>0.19</v>
      </c>
      <c r="F38" s="70" t="n">
        <f aca="false">IFERROR(QUARTILE(F6:F35,3),"n/a")</f>
        <v>0.085</v>
      </c>
      <c r="G38" s="63" t="n">
        <f aca="false">IFERROR(QUARTILE(G6:G35,3),"n/a")</f>
        <v>0.2625</v>
      </c>
      <c r="H38" s="63" t="n">
        <f aca="false">IFERROR(QUARTILE(H6:H35,3),"n/a")</f>
        <v>2.2</v>
      </c>
    </row>
    <row r="39" customFormat="false" ht="15" hidden="false" customHeight="false" outlineLevel="0" collapsed="false">
      <c r="D39" s="47" t="s">
        <v>158</v>
      </c>
      <c r="E39" s="71" t="n">
        <f aca="false">IFERROR(MEDIAN(E6:E35),"n/a")</f>
        <v>0.17</v>
      </c>
      <c r="F39" s="71" t="n">
        <f aca="false">IFERROR(MEDIAN(F6:F35),"n/a")</f>
        <v>0.075</v>
      </c>
      <c r="G39" s="65" t="n">
        <f aca="false">IFERROR(MEDIAN(G6:G35),"n/a")</f>
        <v>0.225</v>
      </c>
      <c r="H39" s="65" t="n">
        <f aca="false">IFERROR(MEDIAN(H6:H35),"n/a")</f>
        <v>2</v>
      </c>
    </row>
    <row r="40" customFormat="false" ht="15" hidden="false" customHeight="false" outlineLevel="0" collapsed="false">
      <c r="D40" s="47" t="s">
        <v>161</v>
      </c>
      <c r="E40" s="70" t="n">
        <f aca="false">IFERROR(AVERAGE(E6:E35),"n/a")</f>
        <v>0.175</v>
      </c>
      <c r="F40" s="70" t="n">
        <f aca="false">IFERROR(AVERAGE(F6:F35),"n/a")</f>
        <v>0.0775</v>
      </c>
      <c r="G40" s="63" t="n">
        <f aca="false">IFERROR(AVERAGE(G6:G35),"n/a")</f>
        <v>0.225</v>
      </c>
      <c r="H40" s="63" t="n">
        <f aca="false">IFERROR(AVERAGE(H6:H35),"n/a")</f>
        <v>2.05</v>
      </c>
    </row>
    <row r="41" customFormat="false" ht="15" hidden="false" customHeight="false" outlineLevel="0" collapsed="false">
      <c r="D41" s="47" t="s">
        <v>716</v>
      </c>
      <c r="E41" s="70" t="n">
        <f aca="false">IFERROR(QUARTILE(E6:E35,1),"n/a")</f>
        <v>0.155</v>
      </c>
      <c r="F41" s="70" t="n">
        <f aca="false">IFERROR(QUARTILE(F6:F35,1),"n/a")</f>
        <v>0.0675</v>
      </c>
      <c r="G41" s="63" t="n">
        <f aca="false">IFERROR(QUARTILE(G6:G35,1),"n/a")</f>
        <v>0.1875</v>
      </c>
      <c r="H41" s="63" t="n">
        <f aca="false">IFERROR(QUARTILE(H6:H35,1),"n/a")</f>
        <v>1.85</v>
      </c>
    </row>
    <row r="42" customFormat="false" ht="15" hidden="false" customHeight="false" outlineLevel="0" collapsed="false">
      <c r="D42" s="47" t="s">
        <v>717</v>
      </c>
      <c r="E42" s="70" t="n">
        <f aca="false">IFERROR(MIN(E6:E35),"n/a")</f>
        <v>0.14</v>
      </c>
      <c r="F42" s="70" t="n">
        <f aca="false">IFERROR(MIN(F6:F35),"n/a")</f>
        <v>0.06</v>
      </c>
      <c r="G42" s="63" t="n">
        <f aca="false">IFERROR(MIN(G6:G35),"n/a")</f>
        <v>0.15</v>
      </c>
      <c r="H42" s="63" t="n">
        <f aca="false">IFERROR(MIN(H6:H35),"n/a")</f>
        <v>1.7</v>
      </c>
    </row>
    <row r="44" customFormat="false" ht="15" hidden="false" customHeight="false" outlineLevel="0" collapsed="false">
      <c r="D44" s="67" t="s">
        <v>718</v>
      </c>
    </row>
    <row r="45" customFormat="false" ht="15" hidden="false" customHeight="false" outlineLevel="0" collapsed="false">
      <c r="D45" s="4" t="s">
        <v>719</v>
      </c>
      <c r="E45" s="45" t="str">
        <f aca="false">IFERROR(AVERAGEIFS(E6:E35,$A$6:$A$35,1,$B$6:$B$35,TRUE()),"n/a")</f>
        <v>n/a</v>
      </c>
      <c r="F45" s="45" t="str">
        <f aca="false">IFERROR(AVERAGEIFS(F6:F35,$A$6:$A$35,1,$B$6:$B$35,TRUE()),"n/a")</f>
        <v>n/a</v>
      </c>
      <c r="G45" s="51" t="str">
        <f aca="false">IFERROR(AVERAGEIFS(G6:G35,$A$6:$A$35,1,$B$6:$B$35,TRUE()),"n/a")</f>
        <v>n/a</v>
      </c>
      <c r="H45" s="51" t="str">
        <f aca="false">IFERROR(AVERAGEIFS(H6:H35,$A$6:$A$35,1,$B$6:$B$35,TRUE()),"n/a")</f>
        <v>n/a</v>
      </c>
    </row>
    <row r="46" customFormat="false" ht="15" hidden="false" customHeight="false" outlineLevel="0" collapsed="false">
      <c r="D46" s="4" t="s">
        <v>720</v>
      </c>
      <c r="E46" s="45" t="str">
        <f aca="false">IFERROR(AVERAGEIFS(E6:E35,$A$6:$A$35,2,$B$6:$B$35,TRUE()),"n/a")</f>
        <v>n/a</v>
      </c>
      <c r="F46" s="45" t="str">
        <f aca="false">IFERROR(AVERAGEIFS(F6:F35,$A$6:$A$35,2,$B$6:$B$35,TRUE()),"n/a")</f>
        <v>n/a</v>
      </c>
      <c r="G46" s="51" t="str">
        <f aca="false">IFERROR(AVERAGEIFS(G6:G35,$A$6:$A$35,2,$B$6:$B$35,TRUE()),"n/a")</f>
        <v>n/a</v>
      </c>
      <c r="H46" s="51" t="str">
        <f aca="false">IFERROR(AVERAGEIFS(H6:H35,$A$6:$A$35,2,$B$6:$B$35,TRUE()),"n/a")</f>
        <v>n/a</v>
      </c>
    </row>
    <row r="47" customFormat="false" ht="15" hidden="false" customHeight="false" outlineLevel="0" collapsed="false">
      <c r="D47" s="4" t="s">
        <v>721</v>
      </c>
      <c r="E47" s="45" t="str">
        <f aca="false">IFERROR(AVERAGEIFS(E6:E35,$A$6:$A$35,3,$B$6:$B$35,TRUE()),"n/a")</f>
        <v>n/a</v>
      </c>
      <c r="F47" s="45" t="str">
        <f aca="false">IFERROR(AVERAGEIFS(F6:F35,$A$6:$A$35,3,$B$6:$B$35,TRUE()),"n/a")</f>
        <v>n/a</v>
      </c>
      <c r="G47" s="51" t="str">
        <f aca="false">IFERROR(AVERAGEIFS(G6:G35,$A$6:$A$35,3,$B$6:$B$35,TRUE()),"n/a")</f>
        <v>n/a</v>
      </c>
      <c r="H47" s="51" t="str">
        <f aca="false">IFERROR(AVERAGEIFS(H6:H35,$A$6:$A$35,3,$B$6:$B$35,TRUE()),"n/a")</f>
        <v>n/a</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8" min="2" style="0" width="16"/>
  </cols>
  <sheetData>
    <row r="1" customFormat="false" ht="21.75" hidden="false" customHeight="true" outlineLevel="0" collapsed="false">
      <c r="A1" s="1" t="s">
        <v>85</v>
      </c>
      <c r="B1" s="1"/>
      <c r="C1" s="1"/>
      <c r="D1" s="1"/>
      <c r="E1" s="1"/>
      <c r="F1" s="1"/>
      <c r="G1" s="1"/>
      <c r="H1" s="1"/>
    </row>
    <row r="2" customFormat="false" ht="15" hidden="false" customHeight="false" outlineLevel="0" collapsed="false">
      <c r="A2" s="2" t="s">
        <v>86</v>
      </c>
      <c r="B2" s="2"/>
      <c r="C2" s="2"/>
      <c r="D2" s="2"/>
      <c r="E2" s="2"/>
      <c r="F2" s="2"/>
      <c r="G2" s="2"/>
      <c r="H2" s="2"/>
    </row>
    <row r="4" customFormat="false" ht="15" hidden="false" customHeight="false" outlineLevel="0" collapsed="false">
      <c r="A4" s="72" t="s">
        <v>729</v>
      </c>
      <c r="B4" s="72"/>
      <c r="C4" s="72"/>
      <c r="D4" s="72"/>
      <c r="E4" s="72"/>
      <c r="F4" s="72"/>
      <c r="G4" s="72"/>
      <c r="H4" s="72"/>
    </row>
  </sheetData>
  <mergeCells count="3">
    <mergeCell ref="A1:H1"/>
    <mergeCell ref="A2:H2"/>
    <mergeCell ref="A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12"/>
    <col collapsed="false" customWidth="true" hidden="false" outlineLevel="0" max="4" min="4" style="0" width="10"/>
    <col collapsed="false" customWidth="true" hidden="false" outlineLevel="0" max="6" min="5" style="0" width="18"/>
    <col collapsed="false" customWidth="true" hidden="false" outlineLevel="0" max="7" min="7" style="0" width="24"/>
  </cols>
  <sheetData>
    <row r="1" customFormat="false" ht="21.75" hidden="false" customHeight="true" outlineLevel="0" collapsed="false">
      <c r="A1" s="1" t="s">
        <v>730</v>
      </c>
      <c r="B1" s="1"/>
      <c r="C1" s="1"/>
      <c r="D1" s="1"/>
      <c r="E1" s="1"/>
      <c r="F1" s="1"/>
      <c r="G1" s="1"/>
      <c r="H1" s="1"/>
    </row>
    <row r="2" customFormat="false" ht="15" hidden="false" customHeight="false" outlineLevel="0" collapsed="false">
      <c r="A2" s="2" t="s">
        <v>731</v>
      </c>
      <c r="B2" s="2"/>
      <c r="C2" s="2"/>
      <c r="D2" s="2"/>
      <c r="E2" s="2"/>
      <c r="F2" s="2"/>
      <c r="G2" s="2"/>
    </row>
    <row r="4" customFormat="false" ht="26.85" hidden="false" customHeight="false" outlineLevel="0" collapsed="false">
      <c r="A4" s="22" t="s">
        <v>474</v>
      </c>
      <c r="B4" s="22" t="s">
        <v>732</v>
      </c>
      <c r="C4" s="22" t="s">
        <v>733</v>
      </c>
      <c r="D4" s="22" t="s">
        <v>131</v>
      </c>
      <c r="E4" s="22" t="s">
        <v>734</v>
      </c>
      <c r="F4" s="22" t="s">
        <v>735</v>
      </c>
      <c r="G4" s="22" t="s">
        <v>736</v>
      </c>
    </row>
    <row r="5" customFormat="false" ht="15" hidden="false" customHeight="false" outlineLevel="0" collapsed="false">
      <c r="A5" s="34" t="s">
        <v>737</v>
      </c>
      <c r="B5" s="34" t="s">
        <v>488</v>
      </c>
      <c r="C5" s="34" t="s">
        <v>738</v>
      </c>
      <c r="D5" s="59" t="n">
        <v>0.0457</v>
      </c>
      <c r="E5" s="59" t="n">
        <v>0</v>
      </c>
      <c r="F5" s="59" t="n">
        <v>0.21</v>
      </c>
      <c r="G5" s="34" t="s">
        <v>739</v>
      </c>
    </row>
    <row r="6" customFormat="false" ht="15" hidden="false" customHeight="false" outlineLevel="0" collapsed="false">
      <c r="A6" s="34" t="s">
        <v>740</v>
      </c>
      <c r="B6" s="34" t="s">
        <v>741</v>
      </c>
      <c r="C6" s="34" t="s">
        <v>742</v>
      </c>
      <c r="D6" s="59" t="n">
        <v>0.0507</v>
      </c>
      <c r="E6" s="59" t="n">
        <v>0.005</v>
      </c>
      <c r="F6" s="59" t="n">
        <v>0.25</v>
      </c>
      <c r="G6" s="34" t="s">
        <v>743</v>
      </c>
    </row>
    <row r="7" customFormat="false" ht="15" hidden="false" customHeight="false" outlineLevel="0" collapsed="false">
      <c r="A7" s="34" t="s">
        <v>744</v>
      </c>
      <c r="B7" s="34" t="s">
        <v>745</v>
      </c>
      <c r="C7" s="34" t="s">
        <v>738</v>
      </c>
      <c r="D7" s="59" t="n">
        <v>0.0457</v>
      </c>
      <c r="E7" s="59" t="n">
        <v>0</v>
      </c>
      <c r="F7" s="59" t="n">
        <v>0.298</v>
      </c>
      <c r="G7" s="34" t="s">
        <v>743</v>
      </c>
    </row>
    <row r="8" customFormat="false" ht="15" hidden="false" customHeight="false" outlineLevel="0" collapsed="false">
      <c r="A8" s="34" t="s">
        <v>746</v>
      </c>
      <c r="B8" s="34" t="s">
        <v>747</v>
      </c>
      <c r="C8" s="34" t="s">
        <v>742</v>
      </c>
      <c r="D8" s="59" t="n">
        <v>0.0507</v>
      </c>
      <c r="E8" s="59" t="n">
        <v>0.005</v>
      </c>
      <c r="F8" s="59" t="n">
        <v>0.258</v>
      </c>
      <c r="G8" s="34" t="s">
        <v>743</v>
      </c>
    </row>
    <row r="9" customFormat="false" ht="15" hidden="false" customHeight="false" outlineLevel="0" collapsed="false">
      <c r="A9" s="34" t="s">
        <v>748</v>
      </c>
      <c r="B9" s="34" t="s">
        <v>749</v>
      </c>
      <c r="C9" s="34" t="s">
        <v>738</v>
      </c>
      <c r="D9" s="59" t="n">
        <v>0.0457</v>
      </c>
      <c r="E9" s="59" t="n">
        <v>0</v>
      </c>
      <c r="F9" s="59" t="n">
        <v>0.144</v>
      </c>
      <c r="G9" s="34" t="s">
        <v>743</v>
      </c>
    </row>
    <row r="10" customFormat="false" ht="15" hidden="false" customHeight="false" outlineLevel="0" collapsed="false">
      <c r="A10" s="34" t="s">
        <v>750</v>
      </c>
      <c r="B10" s="34" t="s">
        <v>751</v>
      </c>
      <c r="C10" s="34" t="s">
        <v>738</v>
      </c>
      <c r="D10" s="59" t="n">
        <v>0.0457</v>
      </c>
      <c r="E10" s="59" t="n">
        <v>0</v>
      </c>
      <c r="F10" s="59" t="n">
        <v>0.258</v>
      </c>
      <c r="G10" s="34" t="s">
        <v>743</v>
      </c>
    </row>
    <row r="11" customFormat="false" ht="15" hidden="false" customHeight="false" outlineLevel="0" collapsed="false">
      <c r="A11" s="34" t="s">
        <v>752</v>
      </c>
      <c r="B11" s="34" t="s">
        <v>483</v>
      </c>
      <c r="C11" s="34" t="s">
        <v>738</v>
      </c>
      <c r="D11" s="59" t="n">
        <v>0.0457</v>
      </c>
      <c r="E11" s="59" t="n">
        <v>0</v>
      </c>
      <c r="F11" s="59" t="n">
        <v>0.3</v>
      </c>
      <c r="G11" s="34" t="s">
        <v>753</v>
      </c>
    </row>
    <row r="12" customFormat="false" ht="15" hidden="false" customHeight="false" outlineLevel="0" collapsed="false">
      <c r="A12" s="34" t="s">
        <v>754</v>
      </c>
      <c r="B12" s="34" t="s">
        <v>755</v>
      </c>
      <c r="C12" s="34" t="s">
        <v>738</v>
      </c>
      <c r="D12" s="59" t="n">
        <v>0.0457</v>
      </c>
      <c r="E12" s="59" t="n">
        <v>0</v>
      </c>
      <c r="F12" s="59" t="n">
        <v>0.28</v>
      </c>
      <c r="G12" s="34" t="s">
        <v>753</v>
      </c>
    </row>
    <row r="13" customFormat="false" ht="15" hidden="false" customHeight="false" outlineLevel="0" collapsed="false">
      <c r="A13" s="34" t="s">
        <v>756</v>
      </c>
      <c r="B13" s="34" t="s">
        <v>757</v>
      </c>
      <c r="C13" s="34" t="s">
        <v>738</v>
      </c>
      <c r="D13" s="59" t="n">
        <v>0.0457</v>
      </c>
      <c r="E13" s="59" t="n">
        <v>0</v>
      </c>
      <c r="F13" s="59" t="n">
        <v>0.265</v>
      </c>
      <c r="G13" s="34" t="s">
        <v>739</v>
      </c>
    </row>
    <row r="14" customFormat="false" ht="15" hidden="false" customHeight="false" outlineLevel="0" collapsed="false">
      <c r="A14" s="34" t="s">
        <v>758</v>
      </c>
      <c r="B14" s="34" t="s">
        <v>759</v>
      </c>
      <c r="C14" s="34" t="s">
        <v>760</v>
      </c>
      <c r="D14" s="59" t="n">
        <v>0.0567</v>
      </c>
      <c r="E14" s="59" t="n">
        <v>0.011</v>
      </c>
      <c r="F14" s="59" t="n">
        <v>0.305</v>
      </c>
      <c r="G14" s="34" t="s">
        <v>761</v>
      </c>
    </row>
    <row r="15" customFormat="false" ht="15" hidden="false" customHeight="false" outlineLevel="0" collapsed="false">
      <c r="A15" s="34" t="s">
        <v>762</v>
      </c>
      <c r="B15" s="34" t="s">
        <v>763</v>
      </c>
      <c r="C15" s="34" t="s">
        <v>764</v>
      </c>
      <c r="D15" s="59" t="n">
        <v>0.0489</v>
      </c>
      <c r="E15" s="59" t="n">
        <v>0.0032</v>
      </c>
      <c r="F15" s="59" t="n">
        <v>0.275</v>
      </c>
      <c r="G15" s="34" t="s">
        <v>761</v>
      </c>
    </row>
    <row r="16" customFormat="false" ht="15" hidden="false" customHeight="false" outlineLevel="0" collapsed="false">
      <c r="A16" s="34" t="s">
        <v>765</v>
      </c>
      <c r="B16" s="34" t="s">
        <v>766</v>
      </c>
      <c r="C16" s="34" t="s">
        <v>742</v>
      </c>
      <c r="D16" s="59" t="n">
        <v>0.0507</v>
      </c>
      <c r="E16" s="59" t="n">
        <v>0.005</v>
      </c>
      <c r="F16" s="59" t="n">
        <v>0.2</v>
      </c>
      <c r="G16" s="34" t="s">
        <v>761</v>
      </c>
    </row>
    <row r="17" customFormat="false" ht="15" hidden="false" customHeight="false" outlineLevel="0" collapsed="false">
      <c r="A17" s="34" t="s">
        <v>767</v>
      </c>
      <c r="B17" s="34" t="s">
        <v>768</v>
      </c>
      <c r="C17" s="34" t="s">
        <v>760</v>
      </c>
      <c r="D17" s="59" t="n">
        <v>0.0567</v>
      </c>
      <c r="E17" s="59" t="n">
        <v>0.011</v>
      </c>
      <c r="F17" s="59" t="n">
        <v>0.25</v>
      </c>
      <c r="G17" s="34" t="s">
        <v>761</v>
      </c>
    </row>
    <row r="18" customFormat="false" ht="15" hidden="false" customHeight="false" outlineLevel="0" collapsed="false">
      <c r="A18" s="34" t="s">
        <v>769</v>
      </c>
      <c r="B18" s="34" t="s">
        <v>770</v>
      </c>
      <c r="C18" s="34" t="s">
        <v>742</v>
      </c>
      <c r="D18" s="59" t="n">
        <v>0.0507</v>
      </c>
      <c r="E18" s="59" t="n">
        <v>0.005</v>
      </c>
      <c r="F18" s="59" t="n">
        <v>0.165</v>
      </c>
      <c r="G18" s="34" t="s">
        <v>761</v>
      </c>
    </row>
    <row r="19" customFormat="false" ht="15" hidden="false" customHeight="false" outlineLevel="0" collapsed="false">
      <c r="A19" s="34" t="s">
        <v>771</v>
      </c>
      <c r="B19" s="34" t="s">
        <v>204</v>
      </c>
      <c r="C19" s="34" t="s">
        <v>738</v>
      </c>
      <c r="D19" s="59" t="n">
        <v>0.0457</v>
      </c>
      <c r="E19" s="59" t="n">
        <v>0</v>
      </c>
      <c r="F19" s="59" t="n">
        <v>0.17</v>
      </c>
      <c r="G19" s="34" t="s">
        <v>761</v>
      </c>
    </row>
    <row r="20" customFormat="false" ht="15" hidden="false" customHeight="false" outlineLevel="0" collapsed="false">
      <c r="A20" s="34" t="s">
        <v>772</v>
      </c>
      <c r="B20" s="34" t="s">
        <v>773</v>
      </c>
      <c r="C20" s="34" t="s">
        <v>774</v>
      </c>
      <c r="D20" s="59" t="n">
        <v>0.0623</v>
      </c>
      <c r="E20" s="59" t="n">
        <v>0.0166</v>
      </c>
      <c r="F20" s="59" t="n">
        <v>0.24</v>
      </c>
      <c r="G20" s="34" t="s">
        <v>761</v>
      </c>
    </row>
    <row r="21" customFormat="false" ht="15" hidden="false" customHeight="false" outlineLevel="0" collapsed="false">
      <c r="A21" s="34" t="s">
        <v>775</v>
      </c>
      <c r="B21" s="34" t="s">
        <v>776</v>
      </c>
      <c r="C21" s="34" t="s">
        <v>777</v>
      </c>
      <c r="D21" s="59" t="n">
        <v>0.0691</v>
      </c>
      <c r="E21" s="59" t="n">
        <v>0.0234</v>
      </c>
      <c r="F21" s="59" t="n">
        <v>0.2</v>
      </c>
      <c r="G21" s="34" t="s">
        <v>761</v>
      </c>
    </row>
    <row r="22" customFormat="false" ht="15" hidden="false" customHeight="false" outlineLevel="0" collapsed="false">
      <c r="A22" s="34" t="s">
        <v>778</v>
      </c>
      <c r="B22" s="34" t="s">
        <v>779</v>
      </c>
      <c r="C22" s="34" t="s">
        <v>780</v>
      </c>
      <c r="D22" s="59" t="n">
        <v>0.0855</v>
      </c>
      <c r="E22" s="59" t="n">
        <v>0.0398</v>
      </c>
      <c r="F22" s="59" t="n">
        <v>0.2</v>
      </c>
      <c r="G22" s="34" t="s">
        <v>761</v>
      </c>
    </row>
    <row r="23" customFormat="false" ht="15" hidden="false" customHeight="false" outlineLevel="0" collapsed="false">
      <c r="A23" s="34" t="s">
        <v>781</v>
      </c>
      <c r="B23" s="34" t="s">
        <v>782</v>
      </c>
      <c r="C23" s="34" t="s">
        <v>783</v>
      </c>
      <c r="D23" s="59" t="n">
        <v>0.0735</v>
      </c>
      <c r="E23" s="59" t="n">
        <v>0.0278</v>
      </c>
      <c r="F23" s="59" t="n">
        <v>0.22</v>
      </c>
      <c r="G23" s="34" t="s">
        <v>761</v>
      </c>
    </row>
    <row r="24" customFormat="false" ht="15" hidden="false" customHeight="false" outlineLevel="0" collapsed="false">
      <c r="A24" s="34" t="s">
        <v>784</v>
      </c>
      <c r="B24" s="34" t="s">
        <v>785</v>
      </c>
      <c r="C24" s="34" t="s">
        <v>783</v>
      </c>
      <c r="D24" s="59" t="n">
        <v>0.0735</v>
      </c>
      <c r="E24" s="59" t="n">
        <v>0.0278</v>
      </c>
      <c r="F24" s="59" t="n">
        <v>0.25</v>
      </c>
      <c r="G24" s="34" t="s">
        <v>761</v>
      </c>
    </row>
    <row r="25" customFormat="false" ht="15" hidden="false" customHeight="false" outlineLevel="0" collapsed="false">
      <c r="A25" s="34" t="s">
        <v>786</v>
      </c>
      <c r="B25" s="34" t="s">
        <v>787</v>
      </c>
      <c r="C25" s="34" t="s">
        <v>788</v>
      </c>
      <c r="D25" s="59" t="n">
        <v>0.0786</v>
      </c>
      <c r="E25" s="59" t="n">
        <v>0.0329</v>
      </c>
      <c r="F25" s="59" t="n">
        <v>0.252</v>
      </c>
      <c r="G25" s="34" t="s">
        <v>761</v>
      </c>
    </row>
    <row r="26" customFormat="false" ht="15" hidden="false" customHeight="false" outlineLevel="0" collapsed="false">
      <c r="A26" s="34" t="s">
        <v>789</v>
      </c>
      <c r="B26" s="34" t="s">
        <v>790</v>
      </c>
      <c r="C26" s="34" t="s">
        <v>791</v>
      </c>
      <c r="D26" s="59" t="n">
        <v>0.1421</v>
      </c>
      <c r="E26" s="59" t="n">
        <v>0.0964</v>
      </c>
      <c r="F26" s="59" t="n">
        <v>0.29</v>
      </c>
      <c r="G26" s="34" t="s">
        <v>761</v>
      </c>
    </row>
    <row r="27" customFormat="false" ht="15" hidden="false" customHeight="false" outlineLevel="0" collapsed="false">
      <c r="A27" s="34" t="s">
        <v>792</v>
      </c>
      <c r="B27" s="34" t="s">
        <v>793</v>
      </c>
      <c r="C27" s="34" t="s">
        <v>794</v>
      </c>
      <c r="D27" s="59" t="n">
        <v>0.1142</v>
      </c>
      <c r="E27" s="59" t="n">
        <v>0.0685</v>
      </c>
      <c r="F27" s="59" t="n">
        <v>0.275</v>
      </c>
      <c r="G27" s="34" t="s">
        <v>761</v>
      </c>
    </row>
    <row r="28" customFormat="false" ht="15" hidden="false" customHeight="false" outlineLevel="0" collapsed="false">
      <c r="A28" s="34" t="s">
        <v>795</v>
      </c>
      <c r="B28" s="34" t="s">
        <v>796</v>
      </c>
      <c r="C28" s="34" t="s">
        <v>742</v>
      </c>
      <c r="D28" s="59" t="n">
        <v>0.0507</v>
      </c>
      <c r="E28" s="59" t="n">
        <v>0.005</v>
      </c>
      <c r="F28" s="59" t="n">
        <v>0</v>
      </c>
      <c r="G28" s="34" t="s">
        <v>797</v>
      </c>
    </row>
    <row r="29" customFormat="false" ht="15" hidden="false" customHeight="false" outlineLevel="0" collapsed="false">
      <c r="A29" s="34" t="s">
        <v>798</v>
      </c>
      <c r="B29" s="34" t="s">
        <v>799</v>
      </c>
      <c r="C29" s="34" t="s">
        <v>800</v>
      </c>
      <c r="D29" s="59" t="n">
        <v>0.0507</v>
      </c>
      <c r="E29" s="59" t="n">
        <v>0.005</v>
      </c>
      <c r="F29" s="59" t="n">
        <v>0</v>
      </c>
      <c r="G29" s="34" t="s">
        <v>797</v>
      </c>
    </row>
    <row r="30" customFormat="false" ht="15" hidden="false" customHeight="false" outlineLevel="0" collapsed="false">
      <c r="A30" s="34" t="s">
        <v>801</v>
      </c>
      <c r="B30" s="34" t="s">
        <v>802</v>
      </c>
      <c r="C30" s="34" t="s">
        <v>803</v>
      </c>
      <c r="D30" s="59" t="n">
        <v>0.0596</v>
      </c>
      <c r="E30" s="59" t="n">
        <v>0.0139</v>
      </c>
      <c r="F30" s="59" t="n">
        <v>0</v>
      </c>
      <c r="G30" s="34" t="s">
        <v>797</v>
      </c>
    </row>
    <row r="31" customFormat="false" ht="15" hidden="false" customHeight="false" outlineLevel="0" collapsed="false">
      <c r="A31" s="34" t="s">
        <v>804</v>
      </c>
      <c r="B31" s="34" t="s">
        <v>805</v>
      </c>
      <c r="C31" s="34" t="s">
        <v>780</v>
      </c>
      <c r="D31" s="59" t="n">
        <v>0.0855</v>
      </c>
      <c r="E31" s="59" t="n">
        <v>0.0398</v>
      </c>
      <c r="F31" s="59" t="n">
        <v>0.34</v>
      </c>
      <c r="G31" s="34" t="s">
        <v>806</v>
      </c>
    </row>
    <row r="32" customFormat="false" ht="15" hidden="false" customHeight="false" outlineLevel="0" collapsed="false">
      <c r="A32" s="34" t="s">
        <v>807</v>
      </c>
      <c r="B32" s="34" t="s">
        <v>808</v>
      </c>
      <c r="C32" s="34" t="s">
        <v>783</v>
      </c>
      <c r="D32" s="59" t="n">
        <v>0.0735</v>
      </c>
      <c r="E32" s="59" t="n">
        <v>0.0278</v>
      </c>
      <c r="F32" s="59" t="n">
        <v>0.3</v>
      </c>
      <c r="G32" s="34" t="s">
        <v>806</v>
      </c>
    </row>
    <row r="33" customFormat="false" ht="15" hidden="false" customHeight="false" outlineLevel="0" collapsed="false">
      <c r="A33" s="34" t="s">
        <v>809</v>
      </c>
      <c r="B33" s="34" t="s">
        <v>810</v>
      </c>
      <c r="C33" s="34" t="s">
        <v>764</v>
      </c>
      <c r="D33" s="59" t="n">
        <v>0.0489</v>
      </c>
      <c r="E33" s="59" t="n">
        <v>0.0032</v>
      </c>
      <c r="F33" s="59" t="n">
        <v>0.09</v>
      </c>
      <c r="G33" s="34" t="s">
        <v>811</v>
      </c>
    </row>
    <row r="34" customFormat="false" ht="15" hidden="false" customHeight="false" outlineLevel="0" collapsed="false">
      <c r="A34" s="34" t="s">
        <v>812</v>
      </c>
      <c r="B34" s="34" t="s">
        <v>813</v>
      </c>
      <c r="C34" s="34" t="s">
        <v>742</v>
      </c>
      <c r="D34" s="59" t="n">
        <v>0.0507</v>
      </c>
      <c r="E34" s="59" t="n">
        <v>0.005</v>
      </c>
      <c r="F34" s="59" t="n">
        <v>0.2</v>
      </c>
      <c r="G34" s="34" t="s">
        <v>811</v>
      </c>
    </row>
    <row r="35" customFormat="false" ht="15" hidden="false" customHeight="false" outlineLevel="0" collapsed="false">
      <c r="A35" s="34" t="s">
        <v>814</v>
      </c>
      <c r="B35" s="34" t="s">
        <v>815</v>
      </c>
      <c r="C35" s="34" t="s">
        <v>803</v>
      </c>
      <c r="D35" s="59" t="n">
        <v>0.0596</v>
      </c>
      <c r="E35" s="59" t="n">
        <v>0.0139</v>
      </c>
      <c r="F35" s="59" t="n">
        <v>0.23</v>
      </c>
      <c r="G35" s="34" t="s">
        <v>811</v>
      </c>
    </row>
    <row r="37" customFormat="false" ht="15" hidden="false" customHeight="false" outlineLevel="0" collapsed="false">
      <c r="A37" s="2" t="s">
        <v>816</v>
      </c>
      <c r="B37" s="2"/>
      <c r="C37" s="2"/>
      <c r="D37" s="2"/>
      <c r="E37" s="2"/>
      <c r="F37" s="2"/>
      <c r="G37" s="2"/>
    </row>
  </sheetData>
  <mergeCells count="3">
    <mergeCell ref="A1:H1"/>
    <mergeCell ref="A2:G2"/>
    <mergeCell ref="A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2" min="2" style="0" width="9"/>
    <col collapsed="false" customWidth="true" hidden="false" outlineLevel="0" max="3" min="3" style="0" width="12"/>
    <col collapsed="false" customWidth="true" hidden="false" outlineLevel="0" max="9" min="4" style="0" width="14"/>
  </cols>
  <sheetData>
    <row r="1" customFormat="false" ht="21.75" hidden="false" customHeight="true" outlineLevel="0" collapsed="false">
      <c r="A1" s="1" t="s">
        <v>817</v>
      </c>
      <c r="B1" s="1"/>
      <c r="C1" s="1"/>
      <c r="D1" s="1"/>
      <c r="E1" s="1"/>
      <c r="F1" s="1"/>
      <c r="G1" s="1"/>
      <c r="H1" s="1"/>
    </row>
    <row r="2" customFormat="false" ht="15" hidden="false" customHeight="false" outlineLevel="0" collapsed="false">
      <c r="A2" s="2" t="s">
        <v>818</v>
      </c>
      <c r="B2" s="2"/>
      <c r="C2" s="2"/>
      <c r="D2" s="2"/>
      <c r="E2" s="2"/>
      <c r="F2" s="2"/>
      <c r="G2" s="2"/>
      <c r="H2" s="2"/>
      <c r="I2" s="2"/>
    </row>
    <row r="4" customFormat="false" ht="26.85" hidden="false" customHeight="false" outlineLevel="0" collapsed="false">
      <c r="A4" s="22" t="s">
        <v>819</v>
      </c>
      <c r="B4" s="22" t="s">
        <v>820</v>
      </c>
      <c r="C4" s="22" t="s">
        <v>821</v>
      </c>
      <c r="D4" s="22" t="s">
        <v>601</v>
      </c>
      <c r="E4" s="22" t="s">
        <v>602</v>
      </c>
      <c r="F4" s="22" t="s">
        <v>822</v>
      </c>
      <c r="G4" s="22" t="s">
        <v>823</v>
      </c>
      <c r="H4" s="22" t="s">
        <v>824</v>
      </c>
      <c r="I4" s="22" t="s">
        <v>654</v>
      </c>
    </row>
    <row r="5" customFormat="false" ht="15" hidden="false" customHeight="false" outlineLevel="0" collapsed="false">
      <c r="A5" s="34" t="s">
        <v>825</v>
      </c>
      <c r="B5" s="34" t="n">
        <v>58</v>
      </c>
      <c r="C5" s="53" t="n">
        <v>0.97</v>
      </c>
      <c r="D5" s="57" t="n">
        <v>0.4</v>
      </c>
      <c r="E5" s="57" t="n">
        <v>0.16</v>
      </c>
      <c r="F5" s="57" t="n">
        <v>0.1</v>
      </c>
      <c r="G5" s="57" t="n">
        <v>0.018</v>
      </c>
      <c r="H5" s="57" t="n">
        <v>0.024</v>
      </c>
      <c r="I5" s="54" t="n">
        <v>14</v>
      </c>
    </row>
    <row r="6" customFormat="false" ht="15" hidden="false" customHeight="false" outlineLevel="0" collapsed="false">
      <c r="A6" s="34" t="s">
        <v>826</v>
      </c>
      <c r="B6" s="34" t="n">
        <v>71</v>
      </c>
      <c r="C6" s="53" t="n">
        <v>0.92</v>
      </c>
      <c r="D6" s="57" t="n">
        <v>0.27</v>
      </c>
      <c r="E6" s="57" t="n">
        <v>0.18</v>
      </c>
      <c r="F6" s="57" t="n">
        <v>0.12</v>
      </c>
      <c r="G6" s="57" t="n">
        <v>0.03</v>
      </c>
      <c r="H6" s="57" t="n">
        <v>0.03</v>
      </c>
      <c r="I6" s="54" t="n">
        <v>16.5</v>
      </c>
    </row>
    <row r="7" customFormat="false" ht="15" hidden="false" customHeight="false" outlineLevel="0" collapsed="false">
      <c r="A7" s="34" t="s">
        <v>827</v>
      </c>
      <c r="B7" s="34" t="n">
        <v>44</v>
      </c>
      <c r="C7" s="53" t="n">
        <v>0.95</v>
      </c>
      <c r="D7" s="57" t="n">
        <v>0.18</v>
      </c>
      <c r="E7" s="57" t="n">
        <v>0.12</v>
      </c>
      <c r="F7" s="57" t="n">
        <v>0.07</v>
      </c>
      <c r="G7" s="57" t="n">
        <v>0.045</v>
      </c>
      <c r="H7" s="57" t="n">
        <v>0.04</v>
      </c>
      <c r="I7" s="54" t="n">
        <v>9.5</v>
      </c>
    </row>
    <row r="8" customFormat="false" ht="15" hidden="false" customHeight="false" outlineLevel="0" collapsed="false">
      <c r="A8" s="34" t="s">
        <v>828</v>
      </c>
      <c r="B8" s="34" t="n">
        <v>17</v>
      </c>
      <c r="C8" s="53" t="n">
        <v>0.78</v>
      </c>
      <c r="D8" s="57" t="n">
        <v>0.55</v>
      </c>
      <c r="E8" s="57" t="n">
        <v>0.4</v>
      </c>
      <c r="F8" s="57" t="n">
        <v>0.35</v>
      </c>
      <c r="G8" s="57" t="n">
        <v>0.005</v>
      </c>
      <c r="H8" s="57" t="n">
        <v>0.01</v>
      </c>
      <c r="I8" s="54" t="n">
        <v>8.5</v>
      </c>
    </row>
    <row r="9" customFormat="false" ht="15" hidden="false" customHeight="false" outlineLevel="0" collapsed="false">
      <c r="A9" s="34" t="s">
        <v>829</v>
      </c>
      <c r="B9" s="34" t="n">
        <v>27</v>
      </c>
      <c r="C9" s="53" t="n">
        <v>0.62</v>
      </c>
      <c r="D9" s="57" t="n">
        <v>0.48</v>
      </c>
      <c r="E9" s="57" t="n">
        <v>0.27</v>
      </c>
      <c r="F9" s="57" t="n">
        <v>0.22</v>
      </c>
      <c r="G9" s="57" t="n">
        <v>0.04</v>
      </c>
      <c r="H9" s="57" t="n">
        <v>0.03</v>
      </c>
      <c r="I9" s="54" t="n">
        <v>14</v>
      </c>
    </row>
    <row r="10" customFormat="false" ht="15" hidden="false" customHeight="false" outlineLevel="0" collapsed="false">
      <c r="A10" s="34" t="s">
        <v>830</v>
      </c>
      <c r="B10" s="34" t="n">
        <v>29</v>
      </c>
      <c r="C10" s="53" t="n">
        <v>0.71</v>
      </c>
      <c r="D10" s="57" t="n">
        <v>0.55</v>
      </c>
      <c r="E10" s="57" t="n">
        <v>0.28</v>
      </c>
      <c r="F10" s="57" t="n">
        <v>0.22</v>
      </c>
      <c r="G10" s="57" t="n">
        <v>0.045</v>
      </c>
      <c r="H10" s="57" t="n">
        <v>0.03</v>
      </c>
      <c r="I10" s="54" t="n">
        <v>16</v>
      </c>
    </row>
    <row r="11" customFormat="false" ht="15" hidden="false" customHeight="false" outlineLevel="0" collapsed="false">
      <c r="A11" s="34" t="s">
        <v>831</v>
      </c>
      <c r="B11" s="34" t="n">
        <v>532</v>
      </c>
      <c r="C11" s="53" t="n">
        <v>1.18</v>
      </c>
      <c r="D11" s="57" t="n">
        <v>0.6</v>
      </c>
      <c r="E11" s="57" t="n">
        <v>-0.1</v>
      </c>
      <c r="F11" s="57" t="n">
        <v>-0.3</v>
      </c>
      <c r="G11" s="57" t="n">
        <v>0.02</v>
      </c>
      <c r="H11" s="57" t="n">
        <v>0.03</v>
      </c>
      <c r="I11" s="54" t="n">
        <v>12</v>
      </c>
    </row>
    <row r="12" customFormat="false" ht="15" hidden="false" customHeight="false" outlineLevel="0" collapsed="false">
      <c r="A12" s="34" t="s">
        <v>832</v>
      </c>
      <c r="B12" s="34" t="n">
        <v>21</v>
      </c>
      <c r="C12" s="53" t="n">
        <v>0.95</v>
      </c>
      <c r="D12" s="57" t="n">
        <v>0.42</v>
      </c>
      <c r="E12" s="57" t="n">
        <v>0.32</v>
      </c>
      <c r="F12" s="57" t="n">
        <v>0.22</v>
      </c>
      <c r="G12" s="57" t="n">
        <v>0.02</v>
      </c>
      <c r="H12" s="57" t="n">
        <v>0.06</v>
      </c>
      <c r="I12" s="54" t="n">
        <v>8.5</v>
      </c>
    </row>
    <row r="13" customFormat="false" ht="15" hidden="false" customHeight="false" outlineLevel="0" collapsed="false">
      <c r="A13" s="34" t="s">
        <v>833</v>
      </c>
      <c r="B13" s="34" t="n">
        <v>31</v>
      </c>
      <c r="C13" s="53" t="n">
        <v>1.08</v>
      </c>
      <c r="D13" s="57" t="n">
        <v>0.3</v>
      </c>
      <c r="E13" s="57" t="n">
        <v>0.18</v>
      </c>
      <c r="F13" s="57" t="n">
        <v>0.13</v>
      </c>
      <c r="G13" s="57" t="n">
        <v>0.04</v>
      </c>
      <c r="H13" s="57" t="n">
        <v>0.04</v>
      </c>
      <c r="I13" s="54" t="n">
        <v>9</v>
      </c>
    </row>
    <row r="14" customFormat="false" ht="15" hidden="false" customHeight="false" outlineLevel="0" collapsed="false">
      <c r="A14" s="34" t="s">
        <v>834</v>
      </c>
      <c r="B14" s="34" t="n">
        <v>168</v>
      </c>
      <c r="C14" s="53" t="n">
        <v>1.1</v>
      </c>
      <c r="D14" s="57" t="n">
        <v>0.45</v>
      </c>
      <c r="E14" s="57" t="n">
        <v>0.18</v>
      </c>
      <c r="F14" s="57" t="n">
        <v>0.12</v>
      </c>
      <c r="G14" s="57" t="n">
        <v>0.025</v>
      </c>
      <c r="H14" s="57" t="n">
        <v>0.035</v>
      </c>
      <c r="I14" s="54" t="n">
        <v>13</v>
      </c>
    </row>
    <row r="15" customFormat="false" ht="15" hidden="false" customHeight="false" outlineLevel="0" collapsed="false">
      <c r="A15" s="34" t="s">
        <v>835</v>
      </c>
      <c r="B15" s="34" t="n">
        <v>10</v>
      </c>
      <c r="C15" s="53" t="n">
        <v>0.85</v>
      </c>
      <c r="D15" s="57" t="n">
        <v>0.55</v>
      </c>
      <c r="E15" s="57" t="n">
        <v>0.36</v>
      </c>
      <c r="F15" s="57" t="n">
        <v>0.2</v>
      </c>
      <c r="G15" s="57" t="n">
        <v>0.13</v>
      </c>
      <c r="H15" s="57" t="n">
        <v>0.14</v>
      </c>
      <c r="I15" s="54" t="n">
        <v>7</v>
      </c>
    </row>
    <row r="16" customFormat="false" ht="15" hidden="false" customHeight="false" outlineLevel="0" collapsed="false">
      <c r="A16" s="34" t="s">
        <v>836</v>
      </c>
      <c r="B16" s="34" t="n">
        <v>23</v>
      </c>
      <c r="C16" s="53" t="n">
        <v>1.04</v>
      </c>
      <c r="D16" s="57" t="n">
        <v>0.22</v>
      </c>
      <c r="E16" s="57" t="n">
        <v>0.16</v>
      </c>
      <c r="F16" s="57" t="n">
        <v>0.12</v>
      </c>
      <c r="G16" s="57" t="n">
        <v>0.04</v>
      </c>
      <c r="H16" s="57" t="n">
        <v>0.03</v>
      </c>
      <c r="I16" s="54" t="n">
        <v>9.5</v>
      </c>
    </row>
    <row r="17" customFormat="false" ht="15" hidden="false" customHeight="false" outlineLevel="0" collapsed="false">
      <c r="A17" s="34" t="s">
        <v>837</v>
      </c>
      <c r="B17" s="34" t="n">
        <v>63</v>
      </c>
      <c r="C17" s="53" t="n">
        <v>1.15</v>
      </c>
      <c r="D17" s="57" t="n">
        <v>0.3</v>
      </c>
      <c r="E17" s="57" t="n">
        <v>0.18</v>
      </c>
      <c r="F17" s="57" t="n">
        <v>0.14</v>
      </c>
      <c r="G17" s="57" t="n">
        <v>0.025</v>
      </c>
      <c r="H17" s="57" t="n">
        <v>0.03</v>
      </c>
      <c r="I17" s="54" t="n">
        <v>14.5</v>
      </c>
    </row>
    <row r="18" customFormat="false" ht="15" hidden="false" customHeight="false" outlineLevel="0" collapsed="false">
      <c r="A18" s="34" t="s">
        <v>838</v>
      </c>
      <c r="B18" s="34" t="n">
        <v>29</v>
      </c>
      <c r="C18" s="53" t="n">
        <v>1.2</v>
      </c>
      <c r="D18" s="57" t="n">
        <v>0.4</v>
      </c>
      <c r="E18" s="57" t="n">
        <v>0.22</v>
      </c>
      <c r="F18" s="57" t="n">
        <v>0.18</v>
      </c>
      <c r="G18" s="57" t="n">
        <v>0.02</v>
      </c>
      <c r="H18" s="57" t="n">
        <v>0.025</v>
      </c>
      <c r="I18" s="54" t="n">
        <v>15</v>
      </c>
    </row>
    <row r="19" customFormat="false" ht="15" hidden="false" customHeight="false" outlineLevel="0" collapsed="false">
      <c r="A19" s="34" t="s">
        <v>839</v>
      </c>
      <c r="B19" s="34" t="n">
        <v>38</v>
      </c>
      <c r="C19" s="53" t="n">
        <v>1.02</v>
      </c>
      <c r="D19" s="57" t="n">
        <v>0.3</v>
      </c>
      <c r="E19" s="57" t="n">
        <v>0.16</v>
      </c>
      <c r="F19" s="57" t="n">
        <v>0.12</v>
      </c>
      <c r="G19" s="57" t="n">
        <v>0.035</v>
      </c>
      <c r="H19" s="57" t="n">
        <v>0.03</v>
      </c>
      <c r="I19" s="54" t="n">
        <v>9.5</v>
      </c>
    </row>
    <row r="20" customFormat="false" ht="15" hidden="false" customHeight="false" outlineLevel="0" collapsed="false">
      <c r="A20" s="34" t="s">
        <v>840</v>
      </c>
      <c r="B20" s="34" t="n">
        <v>532</v>
      </c>
      <c r="C20" s="53" t="n">
        <v>1.18</v>
      </c>
      <c r="D20" s="57" t="n">
        <v>0.6</v>
      </c>
      <c r="E20" s="57" t="n">
        <v>-0.1</v>
      </c>
      <c r="F20" s="57" t="n">
        <v>-0.3</v>
      </c>
      <c r="G20" s="57" t="n">
        <v>0.02</v>
      </c>
      <c r="H20" s="57" t="n">
        <v>0.03</v>
      </c>
      <c r="I20" s="54" t="n">
        <v>12</v>
      </c>
    </row>
    <row r="21" customFormat="false" ht="15" hidden="false" customHeight="false" outlineLevel="0" collapsed="false">
      <c r="A21" s="34" t="s">
        <v>841</v>
      </c>
      <c r="B21" s="34" t="n">
        <v>155</v>
      </c>
      <c r="C21" s="53" t="n">
        <v>0.95</v>
      </c>
      <c r="D21" s="57" t="n">
        <v>0.65</v>
      </c>
      <c r="E21" s="57" t="n">
        <v>0.3</v>
      </c>
      <c r="F21" s="57" t="n">
        <v>0.22</v>
      </c>
      <c r="G21" s="57" t="n">
        <v>0.03</v>
      </c>
      <c r="H21" s="57" t="n">
        <v>0.04</v>
      </c>
      <c r="I21" s="54" t="n">
        <v>14</v>
      </c>
    </row>
    <row r="22" customFormat="false" ht="15" hidden="false" customHeight="false" outlineLevel="0" collapsed="false">
      <c r="A22" s="34" t="s">
        <v>842</v>
      </c>
      <c r="B22" s="34" t="n">
        <v>33</v>
      </c>
      <c r="C22" s="53" t="n">
        <v>1.1</v>
      </c>
      <c r="D22" s="57" t="n">
        <v>0.5</v>
      </c>
      <c r="E22" s="57" t="n">
        <v>0.18</v>
      </c>
      <c r="F22" s="57" t="n">
        <v>0.13</v>
      </c>
      <c r="G22" s="57" t="n">
        <v>0.04</v>
      </c>
      <c r="H22" s="57" t="n">
        <v>0.03</v>
      </c>
      <c r="I22" s="54" t="n">
        <v>12</v>
      </c>
    </row>
    <row r="23" customFormat="false" ht="15" hidden="false" customHeight="false" outlineLevel="0" collapsed="false">
      <c r="A23" s="34" t="s">
        <v>843</v>
      </c>
      <c r="B23" s="34" t="n">
        <v>103</v>
      </c>
      <c r="C23" s="53" t="n">
        <v>1.06</v>
      </c>
      <c r="D23" s="57" t="n">
        <v>0.32</v>
      </c>
      <c r="E23" s="57" t="n">
        <v>0.17</v>
      </c>
      <c r="F23" s="57" t="n">
        <v>0.12</v>
      </c>
      <c r="G23" s="57" t="n">
        <v>0.03</v>
      </c>
      <c r="H23" s="57" t="n">
        <v>0.03</v>
      </c>
      <c r="I23" s="54" t="n">
        <v>12</v>
      </c>
    </row>
    <row r="24" customFormat="false" ht="15" hidden="false" customHeight="false" outlineLevel="0" collapsed="false">
      <c r="A24" s="34" t="s">
        <v>844</v>
      </c>
      <c r="B24" s="34" t="n">
        <v>48</v>
      </c>
      <c r="C24" s="53" t="n">
        <v>1.1</v>
      </c>
      <c r="D24" s="57" t="n">
        <v>0.18</v>
      </c>
      <c r="E24" s="57" t="n">
        <v>0.1</v>
      </c>
      <c r="F24" s="57" t="n">
        <v>0.07</v>
      </c>
      <c r="G24" s="57" t="n">
        <v>0.03</v>
      </c>
      <c r="H24" s="57" t="n">
        <v>0.02</v>
      </c>
      <c r="I24" s="54" t="n">
        <v>9</v>
      </c>
    </row>
    <row r="25" customFormat="false" ht="15" hidden="false" customHeight="false" outlineLevel="0" collapsed="false">
      <c r="A25" s="34" t="s">
        <v>845</v>
      </c>
      <c r="B25" s="34" t="n">
        <v>73</v>
      </c>
      <c r="C25" s="53" t="n">
        <v>1.1</v>
      </c>
      <c r="D25" s="57" t="n">
        <v>0.4</v>
      </c>
      <c r="E25" s="57" t="n">
        <v>0.16</v>
      </c>
      <c r="F25" s="57" t="n">
        <v>0.1</v>
      </c>
      <c r="G25" s="57" t="n">
        <v>0.04</v>
      </c>
      <c r="H25" s="57" t="n">
        <v>0.06</v>
      </c>
      <c r="I25" s="54" t="n">
        <v>13</v>
      </c>
    </row>
    <row r="26" customFormat="false" ht="15" hidden="false" customHeight="false" outlineLevel="0" collapsed="false">
      <c r="A26" s="34" t="s">
        <v>846</v>
      </c>
      <c r="B26" s="34" t="n">
        <v>87</v>
      </c>
      <c r="C26" s="53" t="n">
        <v>0.86</v>
      </c>
      <c r="D26" s="57" t="n">
        <v>0.35</v>
      </c>
      <c r="E26" s="57" t="n">
        <v>0.24</v>
      </c>
      <c r="F26" s="57" t="n">
        <v>0.15</v>
      </c>
      <c r="G26" s="57" t="n">
        <v>0.08</v>
      </c>
      <c r="H26" s="57" t="n">
        <v>0.09</v>
      </c>
      <c r="I26" s="54" t="n">
        <v>12</v>
      </c>
    </row>
    <row r="27" customFormat="false" ht="15" hidden="false" customHeight="false" outlineLevel="0" collapsed="false">
      <c r="A27" s="34" t="s">
        <v>847</v>
      </c>
      <c r="B27" s="34" t="n">
        <v>240</v>
      </c>
      <c r="C27" s="53" t="n">
        <v>1</v>
      </c>
      <c r="D27" s="57" t="n">
        <v>0.45</v>
      </c>
      <c r="E27" s="57" t="n">
        <v>0.3</v>
      </c>
      <c r="F27" s="57" t="n">
        <v>0.22</v>
      </c>
      <c r="G27" s="57" t="n">
        <v>0.01</v>
      </c>
      <c r="H27" s="57" t="n">
        <v>0.02</v>
      </c>
      <c r="I27" s="54" t="n">
        <v>11</v>
      </c>
    </row>
    <row r="28" customFormat="false" ht="15" hidden="false" customHeight="false" outlineLevel="0" collapsed="false">
      <c r="A28" s="34" t="s">
        <v>848</v>
      </c>
      <c r="B28" s="34" t="n">
        <v>79</v>
      </c>
      <c r="C28" s="53" t="n">
        <v>0.55</v>
      </c>
      <c r="D28" s="57" t="n">
        <v>0.3</v>
      </c>
      <c r="E28" s="57" t="n">
        <v>0.15</v>
      </c>
      <c r="F28" s="57" t="n">
        <v>0.11</v>
      </c>
      <c r="G28" s="57" t="n">
        <v>0.04</v>
      </c>
      <c r="H28" s="57" t="n">
        <v>0.03</v>
      </c>
      <c r="I28" s="54" t="n">
        <v>11.5</v>
      </c>
    </row>
    <row r="29" customFormat="false" ht="15" hidden="false" customHeight="false" outlineLevel="0" collapsed="false">
      <c r="A29" s="34" t="s">
        <v>849</v>
      </c>
      <c r="B29" s="34" t="n">
        <v>32</v>
      </c>
      <c r="C29" s="53" t="n">
        <v>1.1</v>
      </c>
      <c r="D29" s="57" t="n">
        <v>0.32</v>
      </c>
      <c r="E29" s="57" t="n">
        <v>0.13</v>
      </c>
      <c r="F29" s="57" t="n">
        <v>0.09</v>
      </c>
      <c r="G29" s="57" t="n">
        <v>0.025</v>
      </c>
      <c r="H29" s="57" t="n">
        <v>0.025</v>
      </c>
      <c r="I29" s="54" t="n">
        <v>9</v>
      </c>
    </row>
    <row r="30" customFormat="false" ht="15" hidden="false" customHeight="false" outlineLevel="0" collapsed="false">
      <c r="A30" s="34" t="s">
        <v>850</v>
      </c>
      <c r="B30" s="34" t="n">
        <v>24</v>
      </c>
      <c r="C30" s="53" t="n">
        <v>1.05</v>
      </c>
      <c r="D30" s="57" t="n">
        <v>0.35</v>
      </c>
      <c r="E30" s="57" t="n">
        <v>0.45</v>
      </c>
      <c r="F30" s="57" t="n">
        <v>0.18</v>
      </c>
      <c r="G30" s="57" t="n">
        <v>0.18</v>
      </c>
      <c r="H30" s="57" t="n">
        <v>0.22</v>
      </c>
      <c r="I30" s="54" t="n">
        <v>14</v>
      </c>
    </row>
    <row r="31" customFormat="false" ht="15" hidden="false" customHeight="false" outlineLevel="0" collapsed="false">
      <c r="A31" s="34" t="s">
        <v>851</v>
      </c>
      <c r="B31" s="34" t="n">
        <v>238</v>
      </c>
      <c r="C31" s="53" t="n">
        <v>1.04</v>
      </c>
      <c r="D31" s="57" t="n">
        <v>0.55</v>
      </c>
      <c r="E31" s="57" t="n">
        <v>0.2</v>
      </c>
      <c r="F31" s="57" t="n">
        <v>0.14</v>
      </c>
      <c r="G31" s="57" t="n">
        <v>0.03</v>
      </c>
      <c r="H31" s="57" t="n">
        <v>0.04</v>
      </c>
      <c r="I31" s="54" t="n">
        <v>16</v>
      </c>
    </row>
    <row r="32" customFormat="false" ht="15" hidden="false" customHeight="false" outlineLevel="0" collapsed="false">
      <c r="A32" s="34" t="s">
        <v>852</v>
      </c>
      <c r="B32" s="34" t="n">
        <v>103</v>
      </c>
      <c r="C32" s="53" t="n">
        <v>1.05</v>
      </c>
      <c r="D32" s="57" t="n">
        <v>0.3</v>
      </c>
      <c r="E32" s="57" t="n">
        <v>0.13</v>
      </c>
      <c r="F32" s="57" t="n">
        <v>0.08</v>
      </c>
      <c r="G32" s="57" t="n">
        <v>0.025</v>
      </c>
      <c r="H32" s="57" t="n">
        <v>0.03</v>
      </c>
      <c r="I32" s="54" t="n">
        <v>12</v>
      </c>
    </row>
    <row r="33" customFormat="false" ht="15" hidden="false" customHeight="false" outlineLevel="0" collapsed="false">
      <c r="A33" s="34" t="s">
        <v>853</v>
      </c>
      <c r="B33" s="34" t="n">
        <v>46</v>
      </c>
      <c r="C33" s="53" t="n">
        <v>1.2</v>
      </c>
      <c r="D33" s="57" t="n">
        <v>0.18</v>
      </c>
      <c r="E33" s="57" t="n">
        <v>0.11</v>
      </c>
      <c r="F33" s="57" t="n">
        <v>0.07</v>
      </c>
      <c r="G33" s="57" t="n">
        <v>0.04</v>
      </c>
      <c r="H33" s="57" t="n">
        <v>0.03</v>
      </c>
      <c r="I33" s="54" t="n">
        <v>9.5</v>
      </c>
    </row>
    <row r="34" customFormat="false" ht="15" hidden="false" customHeight="false" outlineLevel="0" collapsed="false">
      <c r="A34" s="34" t="s">
        <v>854</v>
      </c>
      <c r="B34" s="34" t="n">
        <v>31</v>
      </c>
      <c r="C34" s="53" t="n">
        <v>1.3</v>
      </c>
      <c r="D34" s="57" t="n">
        <v>0.22</v>
      </c>
      <c r="E34" s="57" t="n">
        <v>0.16</v>
      </c>
      <c r="F34" s="57" t="n">
        <v>0.14</v>
      </c>
      <c r="G34" s="57" t="n">
        <v>0.005</v>
      </c>
      <c r="H34" s="57" t="n">
        <v>0.005</v>
      </c>
      <c r="I34" s="54" t="n">
        <v>8.5</v>
      </c>
    </row>
    <row r="35" customFormat="false" ht="15" hidden="false" customHeight="false" outlineLevel="0" collapsed="false">
      <c r="A35" s="34" t="s">
        <v>855</v>
      </c>
      <c r="B35" s="34" t="n">
        <v>36</v>
      </c>
      <c r="C35" s="53" t="n">
        <v>0.85</v>
      </c>
      <c r="D35" s="57" t="n">
        <v>0.32</v>
      </c>
      <c r="E35" s="57" t="n">
        <v>0.13</v>
      </c>
      <c r="F35" s="57" t="n">
        <v>0.07</v>
      </c>
      <c r="G35" s="57" t="n">
        <v>0.04</v>
      </c>
      <c r="H35" s="57" t="n">
        <v>0.05</v>
      </c>
      <c r="I35" s="54" t="n">
        <v>10.5</v>
      </c>
    </row>
    <row r="36" customFormat="false" ht="15" hidden="false" customHeight="false" outlineLevel="0" collapsed="false">
      <c r="A36" s="34" t="s">
        <v>856</v>
      </c>
      <c r="B36" s="34" t="n">
        <v>73</v>
      </c>
      <c r="C36" s="53" t="n">
        <v>1.3</v>
      </c>
      <c r="D36" s="57" t="n">
        <v>0.45</v>
      </c>
      <c r="E36" s="57" t="n">
        <v>0.22</v>
      </c>
      <c r="F36" s="57" t="n">
        <v>0.13</v>
      </c>
      <c r="G36" s="57" t="n">
        <v>0.06</v>
      </c>
      <c r="H36" s="57" t="n">
        <v>0.08</v>
      </c>
      <c r="I36" s="54" t="n">
        <v>11.5</v>
      </c>
    </row>
    <row r="37" customFormat="false" ht="15" hidden="false" customHeight="false" outlineLevel="0" collapsed="false">
      <c r="A37" s="34" t="s">
        <v>857</v>
      </c>
      <c r="B37" s="34" t="n">
        <v>46</v>
      </c>
      <c r="C37" s="53" t="n">
        <v>0.78</v>
      </c>
      <c r="D37" s="57" t="n">
        <v>0.42</v>
      </c>
      <c r="E37" s="57" t="n">
        <v>0.18</v>
      </c>
      <c r="F37" s="57" t="n">
        <v>0.13</v>
      </c>
      <c r="G37" s="57" t="n">
        <v>0.03</v>
      </c>
      <c r="H37" s="57" t="n">
        <v>0.03</v>
      </c>
      <c r="I37" s="54" t="n">
        <v>14.5</v>
      </c>
    </row>
    <row r="38" customFormat="false" ht="15" hidden="false" customHeight="false" outlineLevel="0" collapsed="false">
      <c r="A38" s="34" t="s">
        <v>858</v>
      </c>
      <c r="B38" s="34" t="n">
        <v>74</v>
      </c>
      <c r="C38" s="53" t="n">
        <v>1</v>
      </c>
      <c r="D38" s="57" t="n">
        <v>0.5</v>
      </c>
      <c r="E38" s="57" t="n">
        <v>0.3</v>
      </c>
      <c r="F38" s="57" t="n">
        <v>0.22</v>
      </c>
      <c r="G38" s="57" t="n">
        <v>0.03</v>
      </c>
      <c r="H38" s="57" t="n">
        <v>0.06</v>
      </c>
      <c r="I38" s="54" t="n">
        <v>17</v>
      </c>
    </row>
    <row r="39" customFormat="false" ht="15" hidden="false" customHeight="false" outlineLevel="0" collapsed="false">
      <c r="A39" s="34" t="s">
        <v>859</v>
      </c>
      <c r="B39" s="34" t="n">
        <v>20</v>
      </c>
      <c r="C39" s="53" t="n">
        <v>0.78</v>
      </c>
      <c r="D39" s="57" t="n">
        <v>0.3</v>
      </c>
      <c r="E39" s="57" t="n">
        <v>0.18</v>
      </c>
      <c r="F39" s="57" t="n">
        <v>0.14</v>
      </c>
      <c r="G39" s="57" t="n">
        <v>0.005</v>
      </c>
      <c r="H39" s="57" t="n">
        <v>0.01</v>
      </c>
      <c r="I39" s="54" t="n">
        <v>9.5</v>
      </c>
    </row>
    <row r="40" customFormat="false" ht="15" hidden="false" customHeight="false" outlineLevel="0" collapsed="false">
      <c r="A40" s="34" t="s">
        <v>860</v>
      </c>
      <c r="B40" s="34" t="n">
        <v>23</v>
      </c>
      <c r="C40" s="53" t="n">
        <v>0.95</v>
      </c>
      <c r="D40" s="57" t="n">
        <v>0.3</v>
      </c>
      <c r="E40" s="57" t="n">
        <v>0.2</v>
      </c>
      <c r="F40" s="57" t="n">
        <v>0.15</v>
      </c>
      <c r="G40" s="57" t="n">
        <v>0.005</v>
      </c>
      <c r="H40" s="57" t="n">
        <v>0.01</v>
      </c>
      <c r="I40" s="54" t="n">
        <v>8</v>
      </c>
    </row>
    <row r="41" customFormat="false" ht="15" hidden="false" customHeight="false" outlineLevel="0" collapsed="false">
      <c r="A41" s="34" t="s">
        <v>861</v>
      </c>
      <c r="B41" s="34" t="n">
        <v>50</v>
      </c>
      <c r="C41" s="53" t="n">
        <v>0.78</v>
      </c>
      <c r="D41" s="57" t="n">
        <v>0.3</v>
      </c>
      <c r="E41" s="57" t="n">
        <v>0.2</v>
      </c>
      <c r="F41" s="57" t="n">
        <v>0.16</v>
      </c>
      <c r="G41" s="57" t="n">
        <v>0.005</v>
      </c>
      <c r="H41" s="57" t="n">
        <v>0.01</v>
      </c>
      <c r="I41" s="54" t="n">
        <v>9.5</v>
      </c>
    </row>
    <row r="42" customFormat="false" ht="15" hidden="false" customHeight="false" outlineLevel="0" collapsed="false">
      <c r="A42" s="34" t="s">
        <v>862</v>
      </c>
      <c r="B42" s="34" t="n">
        <v>170</v>
      </c>
      <c r="C42" s="53" t="n">
        <v>1.1</v>
      </c>
      <c r="D42" s="57" t="n">
        <v>0.55</v>
      </c>
      <c r="E42" s="57" t="n">
        <v>0.4</v>
      </c>
      <c r="F42" s="57" t="n">
        <v>0.32</v>
      </c>
      <c r="G42" s="57" t="n">
        <v>0.005</v>
      </c>
      <c r="H42" s="57" t="n">
        <v>0.01</v>
      </c>
      <c r="I42" s="54" t="n">
        <v>12</v>
      </c>
    </row>
    <row r="43" customFormat="false" ht="15" hidden="false" customHeight="false" outlineLevel="0" collapsed="false">
      <c r="A43" s="34" t="s">
        <v>863</v>
      </c>
      <c r="B43" s="34" t="n">
        <v>111</v>
      </c>
      <c r="C43" s="53" t="n">
        <v>1.04</v>
      </c>
      <c r="D43" s="57" t="n">
        <v>0.3</v>
      </c>
      <c r="E43" s="57" t="n">
        <v>0.16</v>
      </c>
      <c r="F43" s="57" t="n">
        <v>0.12</v>
      </c>
      <c r="G43" s="57" t="n">
        <v>0.03</v>
      </c>
      <c r="H43" s="57" t="n">
        <v>0.03</v>
      </c>
      <c r="I43" s="54" t="n">
        <v>12</v>
      </c>
    </row>
    <row r="44" customFormat="false" ht="15" hidden="false" customHeight="false" outlineLevel="0" collapsed="false">
      <c r="A44" s="34" t="s">
        <v>864</v>
      </c>
      <c r="B44" s="34" t="n">
        <v>101</v>
      </c>
      <c r="C44" s="53" t="n">
        <v>1.2</v>
      </c>
      <c r="D44" s="57" t="n">
        <v>0.2</v>
      </c>
      <c r="E44" s="57" t="n">
        <v>0.18</v>
      </c>
      <c r="F44" s="57" t="n">
        <v>0.1</v>
      </c>
      <c r="G44" s="57" t="n">
        <v>0.08</v>
      </c>
      <c r="H44" s="57" t="n">
        <v>0.08</v>
      </c>
      <c r="I44" s="54" t="n">
        <v>7.5</v>
      </c>
    </row>
    <row r="45" customFormat="false" ht="15" hidden="false" customHeight="false" outlineLevel="0" collapsed="false">
      <c r="A45" s="34" t="s">
        <v>865</v>
      </c>
      <c r="B45" s="34" t="n">
        <v>17</v>
      </c>
      <c r="C45" s="53" t="n">
        <v>0.92</v>
      </c>
      <c r="D45" s="57" t="n">
        <v>0.35</v>
      </c>
      <c r="E45" s="57" t="n">
        <v>0.16</v>
      </c>
      <c r="F45" s="57" t="n">
        <v>0.1</v>
      </c>
      <c r="G45" s="57" t="n">
        <v>0.03</v>
      </c>
      <c r="H45" s="57" t="n">
        <v>0.04</v>
      </c>
      <c r="I45" s="54" t="n">
        <v>9</v>
      </c>
    </row>
    <row r="46" customFormat="false" ht="15" hidden="false" customHeight="false" outlineLevel="0" collapsed="false">
      <c r="A46" s="34" t="s">
        <v>866</v>
      </c>
      <c r="B46" s="34" t="n">
        <v>4</v>
      </c>
      <c r="C46" s="53" t="n">
        <v>0.92</v>
      </c>
      <c r="D46" s="57" t="n">
        <v>0.3</v>
      </c>
      <c r="E46" s="57" t="n">
        <v>0.18</v>
      </c>
      <c r="F46" s="57" t="n">
        <v>0.13</v>
      </c>
      <c r="G46" s="57" t="n">
        <v>0.08</v>
      </c>
      <c r="H46" s="57" t="n">
        <v>0.08</v>
      </c>
      <c r="I46" s="54" t="n">
        <v>6.5</v>
      </c>
    </row>
    <row r="47" customFormat="false" ht="15" hidden="false" customHeight="false" outlineLevel="0" collapsed="false">
      <c r="A47" s="34" t="s">
        <v>867</v>
      </c>
      <c r="B47" s="34" t="n">
        <v>235</v>
      </c>
      <c r="C47" s="53" t="n">
        <v>1.05</v>
      </c>
      <c r="D47" s="57" t="n">
        <v>0.55</v>
      </c>
      <c r="E47" s="57" t="n">
        <v>0.42</v>
      </c>
      <c r="F47" s="57" t="n">
        <v>0.18</v>
      </c>
      <c r="G47" s="57" t="n">
        <v>0.22</v>
      </c>
      <c r="H47" s="57" t="n">
        <v>0.25</v>
      </c>
      <c r="I47" s="54" t="n">
        <v>5.5</v>
      </c>
    </row>
    <row r="48" customFormat="false" ht="15" hidden="false" customHeight="false" outlineLevel="0" collapsed="false">
      <c r="A48" s="34" t="s">
        <v>868</v>
      </c>
      <c r="B48" s="34" t="n">
        <v>84</v>
      </c>
      <c r="C48" s="53" t="n">
        <v>1.18</v>
      </c>
      <c r="D48" s="57" t="n">
        <v>0.2</v>
      </c>
      <c r="E48" s="57" t="n">
        <v>0.18</v>
      </c>
      <c r="F48" s="57" t="n">
        <v>0.1</v>
      </c>
      <c r="G48" s="57" t="n">
        <v>0.06</v>
      </c>
      <c r="H48" s="57" t="n">
        <v>0.08</v>
      </c>
      <c r="I48" s="54" t="n">
        <v>8.5</v>
      </c>
    </row>
    <row r="49" customFormat="false" ht="15" hidden="false" customHeight="false" outlineLevel="0" collapsed="false">
      <c r="A49" s="34" t="s">
        <v>869</v>
      </c>
      <c r="B49" s="34" t="n">
        <v>24</v>
      </c>
      <c r="C49" s="53" t="n">
        <v>0.86</v>
      </c>
      <c r="D49" s="57" t="n">
        <v>0.2</v>
      </c>
      <c r="E49" s="57" t="n">
        <v>0.14</v>
      </c>
      <c r="F49" s="57" t="n">
        <v>0.1</v>
      </c>
      <c r="G49" s="57" t="n">
        <v>0.045</v>
      </c>
      <c r="H49" s="57" t="n">
        <v>0.04</v>
      </c>
      <c r="I49" s="54" t="n">
        <v>9.5</v>
      </c>
    </row>
    <row r="50" customFormat="false" ht="15" hidden="false" customHeight="false" outlineLevel="0" collapsed="false">
      <c r="A50" s="34" t="s">
        <v>870</v>
      </c>
      <c r="B50" s="34" t="n">
        <v>13</v>
      </c>
      <c r="C50" s="53" t="n">
        <v>0.92</v>
      </c>
      <c r="D50" s="57" t="n">
        <v>0.18</v>
      </c>
      <c r="E50" s="57" t="n">
        <v>0.16</v>
      </c>
      <c r="F50" s="57" t="n">
        <v>0.09</v>
      </c>
      <c r="G50" s="57" t="n">
        <v>0.05</v>
      </c>
      <c r="H50" s="57" t="n">
        <v>0.06</v>
      </c>
      <c r="I50" s="54" t="n">
        <v>8.5</v>
      </c>
    </row>
    <row r="51" customFormat="false" ht="15" hidden="false" customHeight="false" outlineLevel="0" collapsed="false">
      <c r="A51" s="34" t="s">
        <v>871</v>
      </c>
      <c r="B51" s="34" t="n">
        <v>54</v>
      </c>
      <c r="C51" s="53" t="n">
        <v>0.4</v>
      </c>
      <c r="D51" s="57" t="n">
        <v>0.4</v>
      </c>
      <c r="E51" s="57" t="n">
        <v>0.3</v>
      </c>
      <c r="F51" s="57" t="n">
        <v>0.18</v>
      </c>
      <c r="G51" s="57" t="n">
        <v>0.11</v>
      </c>
      <c r="H51" s="57" t="n">
        <v>0.12</v>
      </c>
      <c r="I51" s="54" t="n">
        <v>12</v>
      </c>
    </row>
    <row r="52" customFormat="false" ht="15" hidden="false" customHeight="false" outlineLevel="0" collapsed="false">
      <c r="A52" s="34" t="s">
        <v>872</v>
      </c>
      <c r="B52" s="34" t="n">
        <v>101</v>
      </c>
      <c r="C52" s="53" t="n">
        <v>1.1</v>
      </c>
      <c r="D52" s="57" t="n">
        <v>0.4</v>
      </c>
      <c r="E52" s="57" t="n">
        <v>0.3</v>
      </c>
      <c r="F52" s="57" t="n">
        <v>0.2</v>
      </c>
      <c r="G52" s="57" t="n">
        <v>0.09</v>
      </c>
      <c r="H52" s="57" t="n">
        <v>0.1</v>
      </c>
      <c r="I52" s="54" t="n">
        <v>9</v>
      </c>
    </row>
    <row r="53" customFormat="false" ht="15" hidden="false" customHeight="false" outlineLevel="0" collapsed="false">
      <c r="A53" s="34" t="s">
        <v>873</v>
      </c>
      <c r="B53" s="34" t="n">
        <v>29</v>
      </c>
      <c r="C53" s="53" t="n">
        <v>1</v>
      </c>
      <c r="D53" s="57" t="n">
        <v>0.35</v>
      </c>
      <c r="E53" s="57" t="n">
        <v>0.13</v>
      </c>
      <c r="F53" s="57" t="n">
        <v>0.07</v>
      </c>
      <c r="G53" s="57" t="n">
        <v>0.02</v>
      </c>
      <c r="H53" s="57" t="n">
        <v>0.04</v>
      </c>
      <c r="I53" s="54" t="n">
        <v>9.5</v>
      </c>
    </row>
    <row r="54" customFormat="false" ht="15" hidden="false" customHeight="false" outlineLevel="0" collapsed="false">
      <c r="A54" s="34" t="s">
        <v>874</v>
      </c>
      <c r="B54" s="34" t="n">
        <v>228</v>
      </c>
      <c r="C54" s="53" t="n">
        <v>0.65</v>
      </c>
      <c r="D54" s="57" t="n">
        <v>0.55</v>
      </c>
      <c r="E54" s="57" t="n">
        <v>0.55</v>
      </c>
      <c r="F54" s="57" t="n">
        <v>0.27</v>
      </c>
      <c r="G54" s="57" t="n">
        <v>0.08</v>
      </c>
      <c r="H54" s="57" t="n">
        <v>0.25</v>
      </c>
      <c r="I54" s="54" t="n">
        <v>18</v>
      </c>
    </row>
    <row r="55" customFormat="false" ht="15" hidden="false" customHeight="false" outlineLevel="0" collapsed="false">
      <c r="A55" s="34" t="s">
        <v>875</v>
      </c>
      <c r="B55" s="34" t="n">
        <v>22</v>
      </c>
      <c r="C55" s="53" t="n">
        <v>1.05</v>
      </c>
      <c r="D55" s="57" t="n">
        <v>0.3</v>
      </c>
      <c r="E55" s="57" t="n">
        <v>0.2</v>
      </c>
      <c r="F55" s="57" t="n">
        <v>0.15</v>
      </c>
      <c r="G55" s="57" t="n">
        <v>0.005</v>
      </c>
      <c r="H55" s="57" t="n">
        <v>0.01</v>
      </c>
      <c r="I55" s="54" t="n">
        <v>14</v>
      </c>
    </row>
    <row r="56" customFormat="false" ht="15" hidden="false" customHeight="false" outlineLevel="0" collapsed="false">
      <c r="A56" s="34" t="s">
        <v>876</v>
      </c>
      <c r="B56" s="34" t="n">
        <v>58</v>
      </c>
      <c r="C56" s="53" t="n">
        <v>1.05</v>
      </c>
      <c r="D56" s="57" t="n">
        <v>0.4</v>
      </c>
      <c r="E56" s="57" t="n">
        <v>0.22</v>
      </c>
      <c r="F56" s="57" t="n">
        <v>0.13</v>
      </c>
      <c r="G56" s="57" t="n">
        <v>0.02</v>
      </c>
      <c r="H56" s="57" t="n">
        <v>0.04</v>
      </c>
      <c r="I56" s="54" t="n">
        <v>13.5</v>
      </c>
    </row>
    <row r="57" customFormat="false" ht="15" hidden="false" customHeight="false" outlineLevel="0" collapsed="false">
      <c r="A57" s="34" t="s">
        <v>877</v>
      </c>
      <c r="B57" s="34" t="n">
        <v>66</v>
      </c>
      <c r="C57" s="53" t="n">
        <v>1.1</v>
      </c>
      <c r="D57" s="57" t="n">
        <v>0.35</v>
      </c>
      <c r="E57" s="57" t="n">
        <v>0.16</v>
      </c>
      <c r="F57" s="57" t="n">
        <v>0.1</v>
      </c>
      <c r="G57" s="57" t="n">
        <v>0.035</v>
      </c>
      <c r="H57" s="57" t="n">
        <v>0.045</v>
      </c>
      <c r="I57" s="54" t="n">
        <v>11</v>
      </c>
    </row>
    <row r="58" customFormat="false" ht="15" hidden="false" customHeight="false" outlineLevel="0" collapsed="false">
      <c r="A58" s="34" t="s">
        <v>878</v>
      </c>
      <c r="B58" s="34" t="n">
        <v>2</v>
      </c>
      <c r="C58" s="53" t="n">
        <v>0.95</v>
      </c>
      <c r="D58" s="57" t="n">
        <v>0.3</v>
      </c>
      <c r="E58" s="57" t="n">
        <v>0.2</v>
      </c>
      <c r="F58" s="57" t="n">
        <v>0.16</v>
      </c>
      <c r="G58" s="57" t="n">
        <v>0.005</v>
      </c>
      <c r="H58" s="57" t="n">
        <v>0.01</v>
      </c>
      <c r="I58" s="54" t="n">
        <v>9</v>
      </c>
    </row>
    <row r="59" customFormat="false" ht="15" hidden="false" customHeight="false" outlineLevel="0" collapsed="false">
      <c r="A59" s="34" t="s">
        <v>879</v>
      </c>
      <c r="B59" s="34" t="n">
        <v>82</v>
      </c>
      <c r="C59" s="53" t="n">
        <v>1.04</v>
      </c>
      <c r="D59" s="57" t="n">
        <v>0.32</v>
      </c>
      <c r="E59" s="57" t="n">
        <v>0.16</v>
      </c>
      <c r="F59" s="57" t="n">
        <v>0.1</v>
      </c>
      <c r="G59" s="57" t="n">
        <v>0.045</v>
      </c>
      <c r="H59" s="57" t="n">
        <v>0.045</v>
      </c>
      <c r="I59" s="54" t="n">
        <v>14</v>
      </c>
    </row>
    <row r="60" customFormat="false" ht="15" hidden="false" customHeight="false" outlineLevel="0" collapsed="false">
      <c r="A60" s="34" t="s">
        <v>880</v>
      </c>
      <c r="B60" s="34" t="n">
        <v>25</v>
      </c>
      <c r="C60" s="53" t="n">
        <v>1.1</v>
      </c>
      <c r="D60" s="57" t="n">
        <v>0.18</v>
      </c>
      <c r="E60" s="57" t="n">
        <v>0.07</v>
      </c>
      <c r="F60" s="57" t="n">
        <v>0.05</v>
      </c>
      <c r="G60" s="57" t="n">
        <v>0.012</v>
      </c>
      <c r="H60" s="57" t="n">
        <v>0.01</v>
      </c>
      <c r="I60" s="54" t="n">
        <v>10</v>
      </c>
    </row>
    <row r="61" customFormat="false" ht="15" hidden="false" customHeight="false" outlineLevel="0" collapsed="false">
      <c r="A61" s="34" t="s">
        <v>881</v>
      </c>
      <c r="B61" s="34" t="n">
        <v>6</v>
      </c>
      <c r="C61" s="53" t="n">
        <v>0.92</v>
      </c>
      <c r="D61" s="57" t="n">
        <v>0.34</v>
      </c>
      <c r="E61" s="57" t="n">
        <v>0.13</v>
      </c>
      <c r="F61" s="57" t="n">
        <v>0.1</v>
      </c>
      <c r="G61" s="57" t="n">
        <v>0.025</v>
      </c>
      <c r="H61" s="57" t="n">
        <v>0.025</v>
      </c>
      <c r="I61" s="54" t="n">
        <v>12</v>
      </c>
    </row>
    <row r="62" customFormat="false" ht="15" hidden="false" customHeight="false" outlineLevel="0" collapsed="false">
      <c r="A62" s="34" t="s">
        <v>882</v>
      </c>
      <c r="B62" s="34" t="n">
        <v>77</v>
      </c>
      <c r="C62" s="53" t="n">
        <v>0.9</v>
      </c>
      <c r="D62" s="57" t="n">
        <v>0.2</v>
      </c>
      <c r="E62" s="57" t="n">
        <v>0.1</v>
      </c>
      <c r="F62" s="57" t="n">
        <v>0.07</v>
      </c>
      <c r="G62" s="57" t="n">
        <v>0.02</v>
      </c>
      <c r="H62" s="57" t="n">
        <v>0.02</v>
      </c>
      <c r="I62" s="54" t="n">
        <v>10</v>
      </c>
    </row>
    <row r="63" customFormat="false" ht="15" hidden="false" customHeight="false" outlineLevel="0" collapsed="false">
      <c r="A63" s="34" t="s">
        <v>883</v>
      </c>
      <c r="B63" s="34" t="n">
        <v>17</v>
      </c>
      <c r="C63" s="53" t="n">
        <v>0.95</v>
      </c>
      <c r="D63" s="57" t="n">
        <v>0.3</v>
      </c>
      <c r="E63" s="57" t="n">
        <v>0.1</v>
      </c>
      <c r="F63" s="57" t="n">
        <v>0.07</v>
      </c>
      <c r="G63" s="57" t="n">
        <v>0.02</v>
      </c>
      <c r="H63" s="57" t="n">
        <v>0.02</v>
      </c>
      <c r="I63" s="54" t="n">
        <v>9.5</v>
      </c>
    </row>
    <row r="64" customFormat="false" ht="15" hidden="false" customHeight="false" outlineLevel="0" collapsed="false">
      <c r="A64" s="34" t="s">
        <v>884</v>
      </c>
      <c r="B64" s="34" t="n">
        <v>11</v>
      </c>
      <c r="C64" s="53" t="n">
        <v>0.42</v>
      </c>
      <c r="D64" s="57" t="n">
        <v>0.28</v>
      </c>
      <c r="E64" s="57" t="n">
        <v>0.06</v>
      </c>
      <c r="F64" s="57" t="n">
        <v>0.04</v>
      </c>
      <c r="G64" s="57" t="n">
        <v>0.02</v>
      </c>
      <c r="H64" s="57" t="n">
        <v>0.025</v>
      </c>
      <c r="I64" s="54" t="n">
        <v>9</v>
      </c>
    </row>
    <row r="65" customFormat="false" ht="15" hidden="false" customHeight="false" outlineLevel="0" collapsed="false">
      <c r="A65" s="34" t="s">
        <v>885</v>
      </c>
      <c r="B65" s="34" t="n">
        <v>64</v>
      </c>
      <c r="C65" s="53" t="n">
        <v>1.2</v>
      </c>
      <c r="D65" s="57" t="n">
        <v>0.38</v>
      </c>
      <c r="E65" s="57" t="n">
        <v>0.1</v>
      </c>
      <c r="F65" s="57" t="n">
        <v>0.06</v>
      </c>
      <c r="G65" s="57" t="n">
        <v>0.04</v>
      </c>
      <c r="H65" s="57" t="n">
        <v>0.04</v>
      </c>
      <c r="I65" s="54" t="n">
        <v>18.5</v>
      </c>
    </row>
    <row r="66" customFormat="false" ht="15" hidden="false" customHeight="false" outlineLevel="0" collapsed="false">
      <c r="A66" s="34" t="s">
        <v>886</v>
      </c>
      <c r="B66" s="34" t="n">
        <v>92</v>
      </c>
      <c r="C66" s="53" t="n">
        <v>1.04</v>
      </c>
      <c r="D66" s="57" t="n">
        <v>0.32</v>
      </c>
      <c r="E66" s="57" t="n">
        <v>0.1</v>
      </c>
      <c r="F66" s="57" t="n">
        <v>0.07</v>
      </c>
      <c r="G66" s="57" t="n">
        <v>0.025</v>
      </c>
      <c r="H66" s="57" t="n">
        <v>0.03</v>
      </c>
      <c r="I66" s="54" t="n">
        <v>10</v>
      </c>
    </row>
    <row r="67" customFormat="false" ht="15" hidden="false" customHeight="false" outlineLevel="0" collapsed="false">
      <c r="A67" s="34" t="s">
        <v>887</v>
      </c>
      <c r="B67" s="34" t="n">
        <v>4</v>
      </c>
      <c r="C67" s="53" t="n">
        <v>0.92</v>
      </c>
      <c r="D67" s="57" t="n">
        <v>0.2</v>
      </c>
      <c r="E67" s="57" t="n">
        <v>0.13</v>
      </c>
      <c r="F67" s="57" t="n">
        <v>0.07</v>
      </c>
      <c r="G67" s="57" t="n">
        <v>0.03</v>
      </c>
      <c r="H67" s="57" t="n">
        <v>0.04</v>
      </c>
      <c r="I67" s="54" t="n">
        <v>8</v>
      </c>
    </row>
    <row r="68" customFormat="false" ht="15" hidden="false" customHeight="false" outlineLevel="0" collapsed="false">
      <c r="A68" s="34" t="s">
        <v>888</v>
      </c>
      <c r="B68" s="34" t="n">
        <v>71</v>
      </c>
      <c r="C68" s="53" t="n">
        <v>1.55</v>
      </c>
      <c r="D68" s="57" t="n">
        <v>0.5</v>
      </c>
      <c r="E68" s="57" t="n">
        <v>0.32</v>
      </c>
      <c r="F68" s="57" t="n">
        <v>0.22</v>
      </c>
      <c r="G68" s="57" t="n">
        <v>0.075</v>
      </c>
      <c r="H68" s="57" t="n">
        <v>0.06</v>
      </c>
      <c r="I68" s="54" t="n">
        <v>18</v>
      </c>
    </row>
    <row r="69" customFormat="false" ht="15" hidden="false" customHeight="false" outlineLevel="0" collapsed="false">
      <c r="A69" s="34" t="s">
        <v>889</v>
      </c>
      <c r="B69" s="34" t="n">
        <v>37</v>
      </c>
      <c r="C69" s="53" t="n">
        <v>1.45</v>
      </c>
      <c r="D69" s="57" t="n">
        <v>0.45</v>
      </c>
      <c r="E69" s="57" t="n">
        <v>0.3</v>
      </c>
      <c r="F69" s="57" t="n">
        <v>0.22</v>
      </c>
      <c r="G69" s="57" t="n">
        <v>0.04</v>
      </c>
      <c r="H69" s="57" t="n">
        <v>0.04</v>
      </c>
      <c r="I69" s="54" t="n">
        <v>16</v>
      </c>
    </row>
    <row r="70" customFormat="false" ht="15" hidden="false" customHeight="false" outlineLevel="0" collapsed="false">
      <c r="A70" s="34" t="s">
        <v>890</v>
      </c>
      <c r="B70" s="34" t="n">
        <v>9</v>
      </c>
      <c r="C70" s="53" t="n">
        <v>1.04</v>
      </c>
      <c r="D70" s="57" t="n">
        <v>0.18</v>
      </c>
      <c r="E70" s="57" t="n">
        <v>0.12</v>
      </c>
      <c r="F70" s="57" t="n">
        <v>0.07</v>
      </c>
      <c r="G70" s="57" t="n">
        <v>0.04</v>
      </c>
      <c r="H70" s="57" t="n">
        <v>0.04</v>
      </c>
      <c r="I70" s="54" t="n">
        <v>8</v>
      </c>
    </row>
    <row r="71" customFormat="false" ht="15" hidden="false" customHeight="false" outlineLevel="0" collapsed="false">
      <c r="A71" s="34" t="s">
        <v>891</v>
      </c>
      <c r="B71" s="34" t="n">
        <v>11</v>
      </c>
      <c r="C71" s="53" t="n">
        <v>1</v>
      </c>
      <c r="D71" s="57" t="n">
        <v>0.45</v>
      </c>
      <c r="E71" s="57" t="n">
        <v>0.18</v>
      </c>
      <c r="F71" s="57" t="n">
        <v>0.13</v>
      </c>
      <c r="G71" s="57" t="n">
        <v>0.025</v>
      </c>
      <c r="H71" s="57" t="n">
        <v>0.03</v>
      </c>
      <c r="I71" s="54" t="n">
        <v>14</v>
      </c>
    </row>
    <row r="72" customFormat="false" ht="15" hidden="false" customHeight="false" outlineLevel="0" collapsed="false">
      <c r="A72" s="34" t="s">
        <v>892</v>
      </c>
      <c r="B72" s="34" t="n">
        <v>75</v>
      </c>
      <c r="C72" s="53" t="n">
        <v>1.3</v>
      </c>
      <c r="D72" s="57" t="n">
        <v>0.65</v>
      </c>
      <c r="E72" s="57" t="n">
        <v>0.25</v>
      </c>
      <c r="F72" s="57" t="n">
        <v>0.18</v>
      </c>
      <c r="G72" s="57" t="n">
        <v>0.03</v>
      </c>
      <c r="H72" s="57" t="n">
        <v>0.06</v>
      </c>
      <c r="I72" s="54" t="n">
        <v>18</v>
      </c>
    </row>
    <row r="73" customFormat="false" ht="15" hidden="false" customHeight="false" outlineLevel="0" collapsed="false">
      <c r="A73" s="34" t="s">
        <v>207</v>
      </c>
      <c r="B73" s="34" t="n">
        <v>245</v>
      </c>
      <c r="C73" s="53" t="n">
        <v>1.3</v>
      </c>
      <c r="D73" s="57" t="n">
        <v>0.7</v>
      </c>
      <c r="E73" s="57" t="n">
        <v>0.16</v>
      </c>
      <c r="F73" s="57" t="n">
        <v>0.07</v>
      </c>
      <c r="G73" s="57" t="n">
        <v>0.025</v>
      </c>
      <c r="H73" s="57" t="n">
        <v>0.06</v>
      </c>
      <c r="I73" s="54" t="n">
        <v>22</v>
      </c>
    </row>
    <row r="74" customFormat="false" ht="15" hidden="false" customHeight="false" outlineLevel="0" collapsed="false">
      <c r="A74" s="34" t="s">
        <v>893</v>
      </c>
      <c r="B74" s="34" t="n">
        <v>367</v>
      </c>
      <c r="C74" s="53" t="n">
        <v>1.2</v>
      </c>
      <c r="D74" s="57" t="n">
        <v>0.72</v>
      </c>
      <c r="E74" s="57" t="n">
        <v>0.3</v>
      </c>
      <c r="F74" s="57" t="n">
        <v>0.22</v>
      </c>
      <c r="G74" s="57" t="n">
        <v>0.02</v>
      </c>
      <c r="H74" s="57" t="n">
        <v>0.06</v>
      </c>
      <c r="I74" s="54" t="n">
        <v>24</v>
      </c>
    </row>
    <row r="75" customFormat="false" ht="15" hidden="false" customHeight="false" outlineLevel="0" collapsed="false">
      <c r="A75" s="34" t="s">
        <v>894</v>
      </c>
      <c r="B75" s="34" t="n">
        <v>32</v>
      </c>
      <c r="C75" s="53" t="n">
        <v>1.15</v>
      </c>
      <c r="D75" s="57" t="n">
        <v>0.16</v>
      </c>
      <c r="E75" s="57" t="n">
        <v>0.13</v>
      </c>
      <c r="F75" s="57" t="n">
        <v>0.08</v>
      </c>
      <c r="G75" s="57" t="n">
        <v>0.04</v>
      </c>
      <c r="H75" s="57" t="n">
        <v>0.04</v>
      </c>
      <c r="I75" s="54" t="n">
        <v>7.5</v>
      </c>
    </row>
    <row r="76" customFormat="false" ht="15" hidden="false" customHeight="false" outlineLevel="0" collapsed="false">
      <c r="A76" s="34" t="s">
        <v>895</v>
      </c>
      <c r="B76" s="34" t="n">
        <v>13</v>
      </c>
      <c r="C76" s="53" t="n">
        <v>0.85</v>
      </c>
      <c r="D76" s="57" t="n">
        <v>0.45</v>
      </c>
      <c r="E76" s="57" t="n">
        <v>0.36</v>
      </c>
      <c r="F76" s="57" t="n">
        <v>0.16</v>
      </c>
      <c r="G76" s="57" t="n">
        <v>0.18</v>
      </c>
      <c r="H76" s="57" t="n">
        <v>0.18</v>
      </c>
      <c r="I76" s="54" t="n">
        <v>7.5</v>
      </c>
    </row>
    <row r="77" customFormat="false" ht="15" hidden="false" customHeight="false" outlineLevel="0" collapsed="false">
      <c r="A77" s="34" t="s">
        <v>896</v>
      </c>
      <c r="B77" s="34" t="n">
        <v>93</v>
      </c>
      <c r="C77" s="53" t="n">
        <v>1.04</v>
      </c>
      <c r="D77" s="57" t="n">
        <v>0.4</v>
      </c>
      <c r="E77" s="57" t="n">
        <v>0.18</v>
      </c>
      <c r="F77" s="57" t="n">
        <v>0.13</v>
      </c>
      <c r="G77" s="57" t="n">
        <v>0.025</v>
      </c>
      <c r="H77" s="57" t="n">
        <v>0.03</v>
      </c>
      <c r="I77" s="54" t="n">
        <v>11.5</v>
      </c>
    </row>
    <row r="78" customFormat="false" ht="15" hidden="false" customHeight="false" outlineLevel="0" collapsed="false">
      <c r="A78" s="34" t="s">
        <v>897</v>
      </c>
      <c r="B78" s="34" t="n">
        <v>49</v>
      </c>
      <c r="C78" s="53" t="n">
        <v>0.65</v>
      </c>
      <c r="D78" s="57" t="n">
        <v>0.4</v>
      </c>
      <c r="E78" s="57" t="n">
        <v>0.34</v>
      </c>
      <c r="F78" s="57" t="n">
        <v>0.16</v>
      </c>
      <c r="G78" s="57" t="n">
        <v>0.14</v>
      </c>
      <c r="H78" s="57" t="n">
        <v>0.14</v>
      </c>
      <c r="I78" s="54" t="n">
        <v>7.5</v>
      </c>
    </row>
    <row r="79" customFormat="false" ht="15" hidden="false" customHeight="false" outlineLevel="0" collapsed="false">
      <c r="A79" s="34" t="s">
        <v>898</v>
      </c>
      <c r="B79" s="34" t="n">
        <v>9</v>
      </c>
      <c r="C79" s="53" t="n">
        <v>0.5</v>
      </c>
      <c r="D79" s="57" t="n">
        <v>0.55</v>
      </c>
      <c r="E79" s="57" t="n">
        <v>0.4</v>
      </c>
      <c r="F79" s="57" t="n">
        <v>0.36</v>
      </c>
      <c r="G79" s="57" t="n">
        <v>0.02</v>
      </c>
      <c r="H79" s="57" t="n">
        <v>0.02</v>
      </c>
      <c r="I79" s="54" t="n">
        <v>11</v>
      </c>
    </row>
    <row r="80" customFormat="false" ht="15" hidden="false" customHeight="false" outlineLevel="0" collapsed="false">
      <c r="A80" s="34" t="s">
        <v>899</v>
      </c>
      <c r="B80" s="34" t="n">
        <v>25</v>
      </c>
      <c r="C80" s="53" t="n">
        <v>0.96</v>
      </c>
      <c r="D80" s="57" t="n">
        <v>0.18</v>
      </c>
      <c r="E80" s="57" t="n">
        <v>0.18</v>
      </c>
      <c r="F80" s="57" t="n">
        <v>0.13</v>
      </c>
      <c r="G80" s="57" t="n">
        <v>0.08</v>
      </c>
      <c r="H80" s="57" t="n">
        <v>0.06</v>
      </c>
      <c r="I80" s="54" t="n">
        <v>11</v>
      </c>
    </row>
    <row r="81" customFormat="false" ht="15" hidden="false" customHeight="false" outlineLevel="0" collapsed="false">
      <c r="A81" s="34" t="s">
        <v>900</v>
      </c>
      <c r="B81" s="34" t="n">
        <v>5</v>
      </c>
      <c r="C81" s="53" t="n">
        <v>0.85</v>
      </c>
      <c r="D81" s="57" t="n">
        <v>0.45</v>
      </c>
      <c r="E81" s="57" t="n">
        <v>0.42</v>
      </c>
      <c r="F81" s="57" t="n">
        <v>0.32</v>
      </c>
      <c r="G81" s="57" t="n">
        <v>0.15</v>
      </c>
      <c r="H81" s="57" t="n">
        <v>0.13</v>
      </c>
      <c r="I81" s="54" t="n">
        <v>11.5</v>
      </c>
    </row>
    <row r="82" customFormat="false" ht="15" hidden="false" customHeight="false" outlineLevel="0" collapsed="false">
      <c r="A82" s="34" t="s">
        <v>901</v>
      </c>
      <c r="B82" s="34" t="n">
        <v>36</v>
      </c>
      <c r="C82" s="53" t="n">
        <v>1.05</v>
      </c>
      <c r="D82" s="57" t="n">
        <v>0.13</v>
      </c>
      <c r="E82" s="57" t="n">
        <v>0.18</v>
      </c>
      <c r="F82" s="57" t="n">
        <v>0.1</v>
      </c>
      <c r="G82" s="57" t="n">
        <v>0.05</v>
      </c>
      <c r="H82" s="57" t="n">
        <v>0.06</v>
      </c>
      <c r="I82" s="54" t="n">
        <v>9.5</v>
      </c>
    </row>
    <row r="83" customFormat="false" ht="15" hidden="false" customHeight="false" outlineLevel="0" collapsed="false">
      <c r="A83" s="34" t="s">
        <v>902</v>
      </c>
      <c r="B83" s="34" t="n">
        <v>16</v>
      </c>
      <c r="C83" s="53" t="n">
        <v>0.36</v>
      </c>
      <c r="D83" s="57" t="n">
        <v>0.4</v>
      </c>
      <c r="E83" s="57" t="n">
        <v>0.32</v>
      </c>
      <c r="F83" s="57" t="n">
        <v>0.18</v>
      </c>
      <c r="G83" s="57" t="n">
        <v>0.13</v>
      </c>
      <c r="H83" s="57" t="n">
        <v>0.14</v>
      </c>
      <c r="I83" s="54" t="n">
        <v>12</v>
      </c>
    </row>
    <row r="84" customFormat="false" ht="15" hidden="false" customHeight="false" outlineLevel="0" collapsed="false">
      <c r="A84" s="34" t="s">
        <v>903</v>
      </c>
      <c r="B84" s="34" t="n">
        <v>15</v>
      </c>
      <c r="C84" s="53" t="n">
        <v>0.6</v>
      </c>
      <c r="D84" s="57" t="n">
        <v>0.42</v>
      </c>
      <c r="E84" s="57" t="n">
        <v>0.45</v>
      </c>
      <c r="F84" s="57" t="n">
        <v>0.3</v>
      </c>
      <c r="G84" s="57" t="n">
        <v>0.18</v>
      </c>
      <c r="H84" s="57" t="n">
        <v>0.15</v>
      </c>
      <c r="I84" s="54" t="n">
        <v>14</v>
      </c>
    </row>
    <row r="86" customFormat="false" ht="15" hidden="false" customHeight="false" outlineLevel="0" collapsed="false">
      <c r="A86" s="2" t="s">
        <v>904</v>
      </c>
      <c r="B86" s="2"/>
      <c r="C86" s="2"/>
      <c r="D86" s="2"/>
      <c r="E86" s="2"/>
      <c r="F86" s="2"/>
      <c r="G86" s="2"/>
      <c r="H86" s="2"/>
      <c r="I86" s="2"/>
    </row>
  </sheetData>
  <mergeCells count="3">
    <mergeCell ref="A1:H1"/>
    <mergeCell ref="A2:I2"/>
    <mergeCell ref="A86:I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4"/>
    <col collapsed="false" customWidth="true" hidden="false" outlineLevel="0" max="4" min="3" style="0" width="18"/>
    <col collapsed="false" customWidth="true" hidden="false" outlineLevel="0" max="5" min="5" style="0" width="30"/>
  </cols>
  <sheetData>
    <row r="1" customFormat="false" ht="21.75" hidden="false" customHeight="true" outlineLevel="0" collapsed="false">
      <c r="A1" s="1" t="s">
        <v>905</v>
      </c>
      <c r="B1" s="1"/>
      <c r="C1" s="1"/>
      <c r="D1" s="1"/>
      <c r="E1" s="1"/>
      <c r="F1" s="1"/>
      <c r="G1" s="1"/>
      <c r="H1" s="1"/>
    </row>
    <row r="2" customFormat="false" ht="15" hidden="false" customHeight="false" outlineLevel="0" collapsed="false">
      <c r="A2" s="2" t="s">
        <v>906</v>
      </c>
      <c r="B2" s="2"/>
      <c r="C2" s="2"/>
      <c r="D2" s="2"/>
      <c r="E2" s="2"/>
    </row>
    <row r="4" customFormat="false" ht="15" hidden="false" customHeight="false" outlineLevel="0" collapsed="false">
      <c r="A4" s="8" t="s">
        <v>103</v>
      </c>
      <c r="B4" s="8"/>
      <c r="C4" s="8" t="s">
        <v>697</v>
      </c>
      <c r="D4" s="8" t="s">
        <v>698</v>
      </c>
      <c r="E4" s="8" t="s">
        <v>24</v>
      </c>
    </row>
    <row r="6" customFormat="false" ht="15" hidden="false" customHeight="false" outlineLevel="0" collapsed="false">
      <c r="A6" s="3" t="s">
        <v>907</v>
      </c>
      <c r="B6" s="3"/>
      <c r="C6" s="3"/>
      <c r="D6" s="3"/>
      <c r="E6" s="3"/>
    </row>
    <row r="7" customFormat="false" ht="15" hidden="false" customHeight="false" outlineLevel="0" collapsed="false">
      <c r="A7" s="4" t="s">
        <v>908</v>
      </c>
      <c r="C7" s="43" t="n">
        <f aca="false">DCF!I27</f>
        <v>327299.062356191</v>
      </c>
      <c r="D7" s="43" t="n">
        <f aca="false">'DCF (Independent)'!I27</f>
        <v>273676.530566287</v>
      </c>
    </row>
    <row r="8" customFormat="false" ht="15" hidden="false" customHeight="false" outlineLevel="0" collapsed="false">
      <c r="A8" s="4" t="s">
        <v>909</v>
      </c>
      <c r="C8" s="43" t="n">
        <f aca="false">surplus_assets</f>
        <v>25000</v>
      </c>
      <c r="D8" s="43" t="n">
        <f aca="false">surplus_assets</f>
        <v>25000</v>
      </c>
    </row>
    <row r="9" customFormat="false" ht="15" hidden="false" customHeight="false" outlineLevel="0" collapsed="false">
      <c r="A9" s="4" t="s">
        <v>910</v>
      </c>
      <c r="C9" s="43" t="n">
        <f aca="false">non_operating_assets</f>
        <v>0</v>
      </c>
      <c r="D9" s="43" t="n">
        <f aca="false">non_operating_assets</f>
        <v>0</v>
      </c>
    </row>
    <row r="10" customFormat="false" ht="15" hidden="false" customHeight="false" outlineLevel="0" collapsed="false">
      <c r="A10" s="4" t="s">
        <v>911</v>
      </c>
      <c r="C10" s="43" t="n">
        <f aca="false">-IF(ISNUMBER(net_debt_override),net_debt_override,0)</f>
        <v>-0</v>
      </c>
      <c r="D10" s="43" t="n">
        <f aca="false">-IF(ISNUMBER(net_debt_override),net_debt_override,0)</f>
        <v>-0</v>
      </c>
    </row>
    <row r="11" customFormat="false" ht="15" hidden="false" customHeight="false" outlineLevel="0" collapsed="false">
      <c r="A11" s="4" t="s">
        <v>912</v>
      </c>
      <c r="C11" s="43" t="n">
        <f aca="false">-minority_interests</f>
        <v>-0</v>
      </c>
      <c r="D11" s="43" t="n">
        <f aca="false">-minority_interests</f>
        <v>-0</v>
      </c>
    </row>
    <row r="12" customFormat="false" ht="15" hidden="false" customHeight="false" outlineLevel="0" collapsed="false">
      <c r="A12" s="47" t="s">
        <v>913</v>
      </c>
      <c r="C12" s="55" t="n">
        <f aca="false">C7+C8+C9+C10+C11</f>
        <v>352299.062356191</v>
      </c>
      <c r="D12" s="55" t="n">
        <f aca="false">D7+D8+D9+D10+D11</f>
        <v>298676.530566287</v>
      </c>
    </row>
    <row r="14" customFormat="false" ht="15" hidden="false" customHeight="false" outlineLevel="0" collapsed="false">
      <c r="A14" s="3" t="s">
        <v>914</v>
      </c>
      <c r="B14" s="3"/>
      <c r="C14" s="3"/>
      <c r="D14" s="3"/>
      <c r="E14" s="3"/>
    </row>
    <row r="15" customFormat="false" ht="15" hidden="false" customHeight="false" outlineLevel="0" collapsed="false">
      <c r="A15" s="4" t="s">
        <v>415</v>
      </c>
      <c r="C15" s="57" t="n">
        <f aca="false">dlom_pct</f>
        <v>0.2</v>
      </c>
      <c r="D15" s="57" t="n">
        <f aca="false">dlom_pct</f>
        <v>0.2</v>
      </c>
    </row>
    <row r="16" customFormat="false" ht="15" hidden="false" customHeight="false" outlineLevel="0" collapsed="false">
      <c r="A16" s="4" t="s">
        <v>915</v>
      </c>
      <c r="C16" s="43" t="n">
        <f aca="false">-C12*C15</f>
        <v>-70459.8124712381</v>
      </c>
      <c r="D16" s="43" t="n">
        <f aca="false">-D12*D15</f>
        <v>-59735.3061132574</v>
      </c>
    </row>
    <row r="17" customFormat="false" ht="15" hidden="false" customHeight="false" outlineLevel="0" collapsed="false">
      <c r="A17" s="4" t="s">
        <v>916</v>
      </c>
      <c r="C17" s="43" t="n">
        <f aca="false">C12+C16</f>
        <v>281839.249884953</v>
      </c>
      <c r="D17" s="43" t="n">
        <f aca="false">D12+D16</f>
        <v>238941.22445303</v>
      </c>
    </row>
    <row r="18" customFormat="false" ht="15" hidden="false" customHeight="false" outlineLevel="0" collapsed="false">
      <c r="A18" s="4" t="s">
        <v>419</v>
      </c>
      <c r="C18" s="57" t="n">
        <f aca="false">dloc_pct</f>
        <v>0.15</v>
      </c>
      <c r="D18" s="57" t="n">
        <f aca="false">dloc_pct</f>
        <v>0.15</v>
      </c>
    </row>
    <row r="19" customFormat="false" ht="15" hidden="false" customHeight="false" outlineLevel="0" collapsed="false">
      <c r="A19" s="4" t="s">
        <v>917</v>
      </c>
      <c r="C19" s="43" t="n">
        <f aca="false">-C17*C18</f>
        <v>-42275.8874827429</v>
      </c>
      <c r="D19" s="43" t="n">
        <f aca="false">-D17*D18</f>
        <v>-35841.1836679544</v>
      </c>
    </row>
    <row r="20" customFormat="false" ht="15" hidden="false" customHeight="false" outlineLevel="0" collapsed="false">
      <c r="A20" s="47" t="s">
        <v>918</v>
      </c>
      <c r="C20" s="55" t="n">
        <f aca="false">C17+C19</f>
        <v>239563.36240221</v>
      </c>
      <c r="D20" s="55" t="n">
        <f aca="false">D17+D19</f>
        <v>203100.040785075</v>
      </c>
    </row>
    <row r="22" customFormat="false" ht="15" hidden="false" customHeight="false" outlineLevel="0" collapsed="false">
      <c r="A22" s="3" t="s">
        <v>919</v>
      </c>
      <c r="B22" s="3"/>
      <c r="C22" s="3"/>
      <c r="D22" s="3"/>
      <c r="E22" s="3"/>
    </row>
    <row r="23" customFormat="false" ht="15" hidden="false" customHeight="false" outlineLevel="0" collapsed="false">
      <c r="A23" s="4" t="s">
        <v>920</v>
      </c>
      <c r="C23" s="57" t="n">
        <f aca="false">equity_interest_pct</f>
        <v>1</v>
      </c>
      <c r="D23" s="57" t="n">
        <f aca="false">equity_interest_pct</f>
        <v>1</v>
      </c>
    </row>
    <row r="24" customFormat="false" ht="15" hidden="false" customHeight="false" outlineLevel="0" collapsed="false">
      <c r="A24" s="47" t="s">
        <v>921</v>
      </c>
      <c r="C24" s="55" t="n">
        <f aca="false">C20*C23</f>
        <v>239563.36240221</v>
      </c>
      <c r="D24" s="55" t="n">
        <f aca="false">D20*D23</f>
        <v>203100.040785075</v>
      </c>
    </row>
  </sheetData>
  <mergeCells count="5">
    <mergeCell ref="A1:H1"/>
    <mergeCell ref="A2:E2"/>
    <mergeCell ref="A6:E6"/>
    <mergeCell ref="A14:E14"/>
    <mergeCell ref="A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9" min="3" style="0" width="13"/>
  </cols>
  <sheetData>
    <row r="1" customFormat="false" ht="21.75" hidden="false" customHeight="true" outlineLevel="0" collapsed="false">
      <c r="A1" s="1" t="s">
        <v>922</v>
      </c>
      <c r="B1" s="1"/>
      <c r="C1" s="1"/>
      <c r="D1" s="1"/>
      <c r="E1" s="1"/>
      <c r="F1" s="1"/>
      <c r="G1" s="1"/>
      <c r="H1" s="1"/>
    </row>
    <row r="2" customFormat="false" ht="15" hidden="false" customHeight="false" outlineLevel="0" collapsed="false">
      <c r="A2" s="2" t="s">
        <v>923</v>
      </c>
      <c r="B2" s="2"/>
      <c r="C2" s="2"/>
      <c r="D2" s="2"/>
      <c r="E2" s="2"/>
      <c r="F2" s="2"/>
      <c r="G2" s="2"/>
      <c r="H2" s="2"/>
      <c r="I2" s="2"/>
      <c r="J2" s="2"/>
    </row>
    <row r="4" customFormat="false" ht="15" hidden="false" customHeight="false" outlineLevel="0" collapsed="false">
      <c r="A4" s="3" t="s">
        <v>924</v>
      </c>
      <c r="B4" s="3"/>
      <c r="C4" s="3"/>
      <c r="D4" s="3"/>
      <c r="E4" s="3"/>
      <c r="F4" s="3"/>
      <c r="G4" s="3"/>
      <c r="H4" s="3"/>
      <c r="I4" s="3"/>
      <c r="J4" s="3"/>
    </row>
    <row r="6" customFormat="false" ht="15" hidden="false" customHeight="false" outlineLevel="0" collapsed="false">
      <c r="B6" s="73" t="s">
        <v>170</v>
      </c>
      <c r="C6" s="74" t="n">
        <f aca="false">terminal_growth_rate+(-3)*sens_terminal_g_step</f>
        <v>0.015</v>
      </c>
      <c r="D6" s="74" t="n">
        <f aca="false">terminal_growth_rate+(-2)*sens_terminal_g_step</f>
        <v>0.02</v>
      </c>
      <c r="E6" s="74" t="n">
        <f aca="false">terminal_growth_rate+(-1)*sens_terminal_g_step</f>
        <v>0.025</v>
      </c>
      <c r="F6" s="74" t="n">
        <f aca="false">terminal_growth_rate+(0)*sens_terminal_g_step</f>
        <v>0.03</v>
      </c>
      <c r="G6" s="74" t="n">
        <f aca="false">terminal_growth_rate+(1)*sens_terminal_g_step</f>
        <v>0.035</v>
      </c>
      <c r="H6" s="74" t="n">
        <f aca="false">terminal_growth_rate+(2)*sens_terminal_g_step</f>
        <v>0.04</v>
      </c>
      <c r="I6" s="74" t="n">
        <f aca="false">terminal_growth_rate+(3)*sens_terminal_g_step</f>
        <v>0.045</v>
      </c>
    </row>
    <row r="7" customFormat="false" ht="15" hidden="false" customHeight="false" outlineLevel="0" collapsed="false">
      <c r="B7" s="74" t="n">
        <f aca="false">wacc_per_mgmt+(-3)*sens_wacc_step</f>
        <v>0.124055295</v>
      </c>
      <c r="C7" s="43" t="n">
        <f aca="false">IFERROR(Projections!D71/(1+$B$7)^1+Projections!E71/(1+$B$7)^2+Projections!F71/(1+$B$7)^3+Projections!G71/(1+$B$7)^4+Projections!H71/(1+$B$7)^5+Projections!H71*(1+C$6)/($B$7-C$6)/(1+$B$7)^5,"err")</f>
        <v>344752.414980401</v>
      </c>
      <c r="D7" s="43" t="n">
        <f aca="false">IFERROR(Projections!D71/(1+$B$7)^1+Projections!E71/(1+$B$7)^2+Projections!F71/(1+$B$7)^3+Projections!G71/(1+$B$7)^4+Projections!H71/(1+$B$7)^5+Projections!H71*(1+D$6)/($B$7-D$6)/(1+$B$7)^5,"err")</f>
        <v>358952.132226249</v>
      </c>
      <c r="E7" s="43" t="n">
        <f aca="false">IFERROR(Projections!D71/(1+$B$7)^1+Projections!E71/(1+$B$7)^2+Projections!F71/(1+$B$7)^3+Projections!G71/(1+$B$7)^4+Projections!H71/(1+$B$7)^5+Projections!H71*(1+E$6)/($B$7-E$6)/(1+$B$7)^5,"err")</f>
        <v>374585.363677052</v>
      </c>
      <c r="F7" s="43" t="n">
        <f aca="false">IFERROR(Projections!D71/(1+$B$7)^1+Projections!E71/(1+$B$7)^2+Projections!F71/(1+$B$7)^3+Projections!G71/(1+$B$7)^4+Projections!H71/(1+$B$7)^5+Projections!H71*(1+F$6)/($B$7-F$6)/(1+$B$7)^5,"err")</f>
        <v>391880.727116363</v>
      </c>
      <c r="G7" s="43" t="n">
        <f aca="false">IFERROR(Projections!D71/(1+$B$7)^1+Projections!E71/(1+$B$7)^2+Projections!F71/(1+$B$7)^3+Projections!G71/(1+$B$7)^4+Projections!H71/(1+$B$7)^5+Projections!H71*(1+G$6)/($B$7-G$6)/(1+$B$7)^5,"err")</f>
        <v>411118.183211626</v>
      </c>
      <c r="H7" s="43" t="n">
        <f aca="false">IFERROR(Projections!D71/(1+$B$7)^1+Projections!E71/(1+$B$7)^2+Projections!F71/(1+$B$7)^3+Projections!G71/(1+$B$7)^4+Projections!H71/(1+$B$7)^5+Projections!H71*(1+H$6)/($B$7-H$6)/(1+$B$7)^5,"err")</f>
        <v>432644.306082165</v>
      </c>
      <c r="I7" s="43" t="n">
        <f aca="false">IFERROR(Projections!D71/(1+$B$7)^1+Projections!E71/(1+$B$7)^2+Projections!F71/(1+$B$7)^3+Projections!G71/(1+$B$7)^4+Projections!H71/(1+$B$7)^5+Projections!H71*(1+I$6)/($B$7-I$6)/(1+$B$7)^5,"err")</f>
        <v>456893.348760991</v>
      </c>
    </row>
    <row r="8" customFormat="false" ht="15" hidden="false" customHeight="false" outlineLevel="0" collapsed="false">
      <c r="B8" s="74" t="n">
        <f aca="false">wacc_per_mgmt+(-2)*sens_wacc_step</f>
        <v>0.129055295</v>
      </c>
      <c r="C8" s="43" t="n">
        <f aca="false">IFERROR(Projections!D71/(1+$B$8)^1+Projections!E71/(1+$B$8)^2+Projections!F71/(1+$B$8)^3+Projections!G71/(1+$B$8)^4+Projections!H71/(1+$B$8)^5+Projections!H71*(1+C$6)/($B$8-C$6)/(1+$B$8)^5,"err")</f>
        <v>326080.350797164</v>
      </c>
      <c r="D8" s="43" t="n">
        <f aca="false">IFERROR(Projections!D71/(1+$B$8)^1+Projections!E71/(1+$B$8)^2+Projections!F71/(1+$B$8)^3+Projections!G71/(1+$B$8)^4+Projections!H71/(1+$B$8)^5+Projections!H71*(1+D$6)/($B$8-D$6)/(1+$B$8)^5,"err")</f>
        <v>338807.123414368</v>
      </c>
      <c r="E8" s="43" t="n">
        <f aca="false">IFERROR(Projections!D71/(1+$B$8)^1+Projections!E71/(1+$B$8)^2+Projections!F71/(1+$B$8)^3+Projections!G71/(1+$B$8)^4+Projections!H71/(1+$B$8)^5+Projections!H71*(1+E$6)/($B$8-E$6)/(1+$B$8)^5,"err")</f>
        <v>352756.97387852</v>
      </c>
      <c r="F8" s="43" t="n">
        <f aca="false">IFERROR(Projections!D71/(1+$B$8)^1+Projections!E71/(1+$B$8)^2+Projections!F71/(1+$B$8)^3+Projections!G71/(1+$B$8)^4+Projections!H71/(1+$B$8)^5+Projections!H71*(1+F$6)/($B$8-F$6)/(1+$B$8)^5,"err")</f>
        <v>368115.11356781</v>
      </c>
      <c r="G8" s="43" t="n">
        <f aca="false">IFERROR(Projections!D71/(1+$B$8)^1+Projections!E71/(1+$B$8)^2+Projections!F71/(1+$B$8)^3+Projections!G71/(1+$B$8)^4+Projections!H71/(1+$B$8)^5+Projections!H71*(1+G$6)/($B$8-G$6)/(1+$B$8)^5,"err")</f>
        <v>385106.137369504</v>
      </c>
      <c r="H8" s="43" t="n">
        <f aca="false">IFERROR(Projections!D71/(1+$B$8)^1+Projections!E71/(1+$B$8)^2+Projections!F71/(1+$B$8)^3+Projections!G71/(1+$B$8)^4+Projections!H71/(1+$B$8)^5+Projections!H71*(1+H$6)/($B$8-H$6)/(1+$B$8)^5,"err")</f>
        <v>404005.079594431</v>
      </c>
      <c r="I8" s="43" t="n">
        <f aca="false">IFERROR(Projections!D71/(1+$B$8)^1+Projections!E71/(1+$B$8)^2+Projections!F71/(1+$B$8)^3+Projections!G71/(1+$B$8)^4+Projections!H71/(1+$B$8)^5+Projections!H71*(1+I$6)/($B$8-I$6)/(1+$B$8)^5,"err")</f>
        <v>425152.41583486</v>
      </c>
    </row>
    <row r="9" customFormat="false" ht="15" hidden="false" customHeight="false" outlineLevel="0" collapsed="false">
      <c r="B9" s="74" t="n">
        <f aca="false">wacc_per_mgmt+(-1)*sens_wacc_step</f>
        <v>0.134055295</v>
      </c>
      <c r="C9" s="43" t="n">
        <f aca="false">IFERROR(Projections!D71/(1+$B$9)^1+Projections!E71/(1+$B$9)^2+Projections!F71/(1+$B$9)^3+Projections!G71/(1+$B$9)^4+Projections!H71/(1+$B$9)^5+Projections!H71*(1+C$6)/($B$9-C$6)/(1+$B$9)^5,"err")</f>
        <v>309033.093214493</v>
      </c>
      <c r="D9" s="43" t="n">
        <f aca="false">IFERROR(Projections!D71/(1+$B$9)^1+Projections!E71/(1+$B$9)^2+Projections!F71/(1+$B$9)^3+Projections!G71/(1+$B$9)^4+Projections!H71/(1+$B$9)^5+Projections!H71*(1+D$6)/($B$9-D$6)/(1+$B$9)^5,"err")</f>
        <v>320486.646769465</v>
      </c>
      <c r="E9" s="43" t="n">
        <f aca="false">IFERROR(Projections!D71/(1+$B$9)^1+Projections!E71/(1+$B$9)^2+Projections!F71/(1+$B$9)^3+Projections!G71/(1+$B$9)^4+Projections!H71/(1+$B$9)^5+Projections!H71*(1+E$6)/($B$9-E$6)/(1+$B$9)^5,"err")</f>
        <v>332990.452268184</v>
      </c>
      <c r="F9" s="43" t="n">
        <f aca="false">IFERROR(Projections!D71/(1+$B$9)^1+Projections!E71/(1+$B$9)^2+Projections!F71/(1+$B$9)^3+Projections!G71/(1+$B$9)^4+Projections!H71/(1+$B$9)^5+Projections!H71*(1+F$6)/($B$9-F$6)/(1+$B$9)^5,"err")</f>
        <v>346695.907860608</v>
      </c>
      <c r="G9" s="43" t="n">
        <f aca="false">IFERROR(Projections!D71/(1+$B$9)^1+Projections!E71/(1+$B$9)^2+Projections!F71/(1+$B$9)^3+Projections!G71/(1+$B$9)^4+Projections!H71/(1+$B$9)^5+Projections!H71*(1+G$6)/($B$9-G$6)/(1+$B$9)^5,"err")</f>
        <v>361784.980107994</v>
      </c>
      <c r="H9" s="43" t="n">
        <f aca="false">IFERROR(Projections!D71/(1+$B$9)^1+Projections!E71/(1+$B$9)^2+Projections!F71/(1+$B$9)^3+Projections!G71/(1+$B$9)^4+Projections!H71/(1+$B$9)^5+Projections!H71*(1+H$6)/($B$9-H$6)/(1+$B$9)^5,"err")</f>
        <v>378478.329099968</v>
      </c>
      <c r="I9" s="43" t="n">
        <f aca="false">IFERROR(Projections!D71/(1+$B$9)^1+Projections!E71/(1+$B$9)^2+Projections!F71/(1+$B$9)^3+Projections!G71/(1+$B$9)^4+Projections!H71/(1+$B$9)^5+Projections!H71*(1+I$6)/($B$9-I$6)/(1+$B$9)^5,"err")</f>
        <v>397046.170674554</v>
      </c>
    </row>
    <row r="10" customFormat="false" ht="15" hidden="false" customHeight="false" outlineLevel="0" collapsed="false">
      <c r="B10" s="74" t="n">
        <f aca="false">wacc_per_mgmt+(0)*sens_wacc_step</f>
        <v>0.139055295</v>
      </c>
      <c r="C10" s="43" t="n">
        <f aca="false">IFERROR(Projections!D71/(1+$B$10)^1+Projections!E71/(1+$B$10)^2+Projections!F71/(1+$B$10)^3+Projections!G71/(1+$B$10)^4+Projections!H71/(1+$B$10)^5+Projections!H71*(1+C$6)/($B$10-C$6)/(1+$B$10)^5,"err")</f>
        <v>293412.984507636</v>
      </c>
      <c r="D10" s="43" t="n">
        <f aca="false">IFERROR(Projections!D71/(1+$B$10)^1+Projections!E71/(1+$B$10)^2+Projections!F71/(1+$B$10)^3+Projections!G71/(1+$B$10)^4+Projections!H71/(1+$B$10)^5+Projections!H71*(1+D$6)/($B$10-D$6)/(1+$B$10)^5,"err")</f>
        <v>303759.594784166</v>
      </c>
      <c r="E10" s="43" t="n">
        <f aca="false">IFERROR(Projections!D71/(1+$B$10)^1+Projections!E71/(1+$B$10)^2+Projections!F71/(1+$B$10)^3+Projections!G71/(1+$B$10)^4+Projections!H71/(1+$B$10)^5+Projections!H71*(1+E$6)/($B$10-E$6)/(1+$B$10)^5,"err")</f>
        <v>315013.362442257</v>
      </c>
      <c r="F10" s="75" t="n">
        <f aca="false">IFERROR(Projections!D71/(1+$B$10)^1+Projections!E71/(1+$B$10)^2+Projections!F71/(1+$B$10)^3+Projections!G71/(1+$B$10)^4+Projections!H71/(1+$B$10)^5+Projections!H71*(1+F$6)/($B$10-F$6)/(1+$B$10)^5,"err")</f>
        <v>327299.062356191</v>
      </c>
      <c r="G10" s="43" t="n">
        <f aca="false">IFERROR(Projections!D71/(1+$B$10)^1+Projections!E71/(1+$B$10)^2+Projections!F71/(1+$B$10)^3+Projections!G71/(1+$B$10)^4+Projections!H71/(1+$B$10)^5+Projections!H71*(1+G$6)/($B$10-G$6)/(1+$B$10)^5,"err")</f>
        <v>340765.451817343</v>
      </c>
      <c r="H10" s="43" t="n">
        <f aca="false">IFERROR(Projections!D71/(1+$B$10)^1+Projections!E71/(1+$B$10)^2+Projections!F71/(1+$B$10)^3+Projections!G71/(1+$B$10)^4+Projections!H71/(1+$B$10)^5+Projections!H71*(1+H$6)/($B$10-H$6)/(1+$B$10)^5,"err")</f>
        <v>355591.323319426</v>
      </c>
      <c r="I10" s="43" t="n">
        <f aca="false">IFERROR(Projections!D71/(1+$B$10)^1+Projections!E71/(1+$B$10)^2+Projections!F71/(1+$B$10)^3+Projections!G71/(1+$B$10)^4+Projections!H71/(1+$B$10)^5+Projections!H71*(1+I$6)/($B$10-I$6)/(1+$B$10)^5,"err")</f>
        <v>371993.487948024</v>
      </c>
    </row>
    <row r="11" customFormat="false" ht="15" hidden="false" customHeight="false" outlineLevel="0" collapsed="false">
      <c r="B11" s="74" t="n">
        <f aca="false">wacc_per_mgmt+(1)*sens_wacc_step</f>
        <v>0.144055295</v>
      </c>
      <c r="C11" s="43" t="n">
        <f aca="false">IFERROR(Projections!D71/(1+$B$11)^1+Projections!E71/(1+$B$11)^2+Projections!F71/(1+$B$11)^3+Projections!G71/(1+$B$11)^4+Projections!H71/(1+$B$11)^5+Projections!H71*(1+C$6)/($B$11-C$6)/(1+$B$11)^5,"err")</f>
        <v>279053.029600715</v>
      </c>
      <c r="D11" s="43" t="n">
        <f aca="false">IFERROR(Projections!D71/(1+$B$11)^1+Projections!E71/(1+$B$11)^2+Projections!F71/(1+$B$11)^3+Projections!G71/(1+$B$11)^4+Projections!H71/(1+$B$11)^5+Projections!H71*(1+D$6)/($B$11-D$6)/(1+$B$11)^5,"err")</f>
        <v>288432.150748752</v>
      </c>
      <c r="E11" s="43" t="n">
        <f aca="false">IFERROR(Projections!D71/(1+$B$11)^1+Projections!E71/(1+$B$11)^2+Projections!F71/(1+$B$11)^3+Projections!G71/(1+$B$11)^4+Projections!H71/(1+$B$11)^5+Projections!H71*(1+E$6)/($B$11-E$6)/(1+$B$11)^5,"err")</f>
        <v>298599.067277754</v>
      </c>
      <c r="F11" s="43" t="n">
        <f aca="false">IFERROR(Projections!D71/(1+$B$11)^1+Projections!E71/(1+$B$11)^2+Projections!F71/(1+$B$11)^3+Projections!G71/(1+$B$11)^4+Projections!H71/(1+$B$11)^5+Projections!H71*(1+F$6)/($B$11-F$6)/(1+$B$11)^5,"err")</f>
        <v>309657.386220734</v>
      </c>
      <c r="G11" s="43" t="n">
        <f aca="false">IFERROR(Projections!D71/(1+$B$11)^1+Projections!E71/(1+$B$11)^2+Projections!F71/(1+$B$11)^3+Projections!G71/(1+$B$11)^4+Projections!H71/(1+$B$11)^5+Projections!H71*(1+G$6)/($B$11-G$6)/(1+$B$11)^5,"err")</f>
        <v>321729.715436483</v>
      </c>
      <c r="H11" s="43" t="n">
        <f aca="false">IFERROR(Projections!D71/(1+$B$11)^1+Projections!E71/(1+$B$11)^2+Projections!F71/(1+$B$11)^3+Projections!G71/(1+$B$11)^4+Projections!H71/(1+$B$11)^5+Projections!H71*(1+H$6)/($B$11-H$6)/(1+$B$11)^5,"err")</f>
        <v>334962.228688589</v>
      </c>
      <c r="I11" s="43" t="n">
        <f aca="false">IFERROR(Projections!D71/(1+$B$11)^1+Projections!E71/(1+$B$11)^2+Projections!F71/(1+$B$11)^3+Projections!G71/(1+$B$11)^4+Projections!H71/(1+$B$11)^5+Projections!H71*(1+I$6)/($B$11-I$6)/(1+$B$11)^5,"err")</f>
        <v>349530.613309521</v>
      </c>
    </row>
    <row r="12" customFormat="false" ht="15" hidden="false" customHeight="false" outlineLevel="0" collapsed="false">
      <c r="B12" s="74" t="n">
        <f aca="false">wacc_per_mgmt+(2)*sens_wacc_step</f>
        <v>0.149055295</v>
      </c>
      <c r="C12" s="43" t="n">
        <f aca="false">IFERROR(Projections!D71/(1+$B$12)^1+Projections!E71/(1+$B$12)^2+Projections!F71/(1+$B$12)^3+Projections!G71/(1+$B$12)^4+Projections!H71/(1+$B$12)^5+Projections!H71*(1+C$6)/($B$12-C$6)/(1+$B$12)^5,"err")</f>
        <v>265811.176826979</v>
      </c>
      <c r="D12" s="43" t="n">
        <f aca="false">IFERROR(Projections!D71/(1+$B$12)^1+Projections!E71/(1+$B$12)^2+Projections!F71/(1+$B$12)^3+Projections!G71/(1+$B$12)^4+Projections!H71/(1+$B$12)^5+Projections!H71*(1+D$6)/($B$12-D$6)/(1+$B$12)^5,"err")</f>
        <v>274340.563969228</v>
      </c>
      <c r="E12" s="43" t="n">
        <f aca="false">IFERROR(Projections!D71/(1+$B$12)^1+Projections!E71/(1+$B$12)^2+Projections!F71/(1+$B$12)^3+Projections!G71/(1+$B$12)^4+Projections!H71/(1+$B$12)^5+Projections!H71*(1+E$6)/($B$12-E$6)/(1+$B$12)^5,"err")</f>
        <v>283557.498317121</v>
      </c>
      <c r="F12" s="43" t="n">
        <f aca="false">IFERROR(Projections!D71/(1+$B$12)^1+Projections!E71/(1+$B$12)^2+Projections!F71/(1+$B$12)^3+Projections!G71/(1+$B$12)^4+Projections!H71/(1+$B$12)^5+Projections!H71*(1+F$6)/($B$12-F$6)/(1+$B$12)^5,"err")</f>
        <v>293548.605233138</v>
      </c>
      <c r="G12" s="43" t="n">
        <f aca="false">IFERROR(Projections!D71/(1+$B$12)^1+Projections!E71/(1+$B$12)^2+Projections!F71/(1+$B$12)^3+Projections!G71/(1+$B$12)^4+Projections!H71/(1+$B$12)^5+Projections!H71*(1+G$6)/($B$12-G$6)/(1+$B$12)^5,"err")</f>
        <v>304415.700143926</v>
      </c>
      <c r="H12" s="43" t="n">
        <f aca="false">IFERROR(Projections!D71/(1+$B$12)^1+Projections!E71/(1+$B$12)^2+Projections!F71/(1+$B$12)^3+Projections!G71/(1+$B$12)^4+Projections!H71/(1+$B$12)^5+Projections!H71*(1+H$6)/($B$12-H$6)/(1+$B$12)^5,"err")</f>
        <v>316279.270733478</v>
      </c>
      <c r="I12" s="43" t="n">
        <f aca="false">IFERROR(Projections!D71/(1+$B$12)^1+Projections!E71/(1+$B$12)^2+Projections!F71/(1+$B$12)^3+Projections!G71/(1+$B$12)^4+Projections!H71/(1+$B$12)^5+Projections!H71*(1+I$6)/($B$12-I$6)/(1+$B$12)^5,"err")</f>
        <v>329282.963081327</v>
      </c>
    </row>
    <row r="13" customFormat="false" ht="15" hidden="false" customHeight="false" outlineLevel="0" collapsed="false">
      <c r="B13" s="74" t="n">
        <f aca="false">wacc_per_mgmt+(3)*sens_wacc_step</f>
        <v>0.154055295</v>
      </c>
      <c r="C13" s="43" t="n">
        <f aca="false">IFERROR(Projections!D71/(1+$B$13)^1+Projections!E71/(1+$B$13)^2+Projections!F71/(1+$B$13)^3+Projections!G71/(1+$B$13)^4+Projections!H71/(1+$B$13)^5+Projections!H71*(1+C$6)/($B$13-C$6)/(1+$B$13)^5,"err")</f>
        <v>253565.832600062</v>
      </c>
      <c r="D13" s="43" t="n">
        <f aca="false">IFERROR(Projections!D71/(1+$B$13)^1+Projections!E71/(1+$B$13)^2+Projections!F71/(1+$B$13)^3+Projections!G71/(1+$B$13)^4+Projections!H71/(1+$B$13)^5+Projections!H71*(1+D$6)/($B$13-D$6)/(1+$B$13)^5,"err")</f>
        <v>261345.54184104</v>
      </c>
      <c r="E13" s="43" t="n">
        <f aca="false">IFERROR(Projections!D71/(1+$B$13)^1+Projections!E71/(1+$B$13)^2+Projections!F71/(1+$B$13)^3+Projections!G71/(1+$B$13)^4+Projections!H71/(1+$B$13)^5+Projections!H71*(1+E$6)/($B$13-E$6)/(1+$B$13)^5,"err")</f>
        <v>269728.070923001</v>
      </c>
      <c r="F13" s="43" t="n">
        <f aca="false">IFERROR(Projections!D71/(1+$B$13)^1+Projections!E71/(1+$B$13)^2+Projections!F71/(1+$B$13)^3+Projections!G71/(1+$B$13)^4+Projections!H71/(1+$B$13)^5+Projections!H71*(1+F$6)/($B$13-F$6)/(1+$B$13)^5,"err")</f>
        <v>278786.309097585</v>
      </c>
      <c r="G13" s="43" t="n">
        <f aca="false">IFERROR(Projections!D71/(1+$B$13)^1+Projections!E71/(1+$B$13)^2+Projections!F71/(1+$B$13)^3+Projections!G71/(1+$B$13)^4+Projections!H71/(1+$B$13)^5+Projections!H71*(1+G$6)/($B$13-G$6)/(1+$B$13)^5,"err")</f>
        <v>288605.390221203</v>
      </c>
      <c r="H13" s="43" t="n">
        <f aca="false">IFERROR(Projections!D71/(1+$B$13)^1+Projections!E71/(1+$B$13)^2+Projections!F71/(1+$B$13)^3+Projections!G71/(1+$B$13)^4+Projections!H71/(1+$B$13)^5+Projections!H71*(1+H$6)/($B$13-H$6)/(1+$B$13)^5,"err")</f>
        <v>299285.376673558</v>
      </c>
      <c r="I13" s="43" t="n">
        <f aca="false">IFERROR(Projections!D71/(1+$B$13)^1+Projections!E71/(1+$B$13)^2+Projections!F71/(1+$B$13)^3+Projections!G71/(1+$B$13)^4+Projections!H71/(1+$B$13)^5+Projections!H71*(1+I$6)/($B$13-I$6)/(1+$B$13)^5,"err")</f>
        <v>310944.6815948</v>
      </c>
    </row>
    <row r="15" customFormat="false" ht="15" hidden="false" customHeight="false" outlineLevel="0" collapsed="false">
      <c r="A15" s="2" t="s">
        <v>925</v>
      </c>
      <c r="B15" s="2"/>
      <c r="C15" s="2"/>
      <c r="D15" s="2"/>
      <c r="E15" s="2"/>
      <c r="F15" s="2"/>
      <c r="G15" s="2"/>
      <c r="H15" s="2"/>
      <c r="I15" s="2"/>
      <c r="J15" s="2"/>
    </row>
  </sheetData>
  <mergeCells count="4">
    <mergeCell ref="A1:H1"/>
    <mergeCell ref="A2:J2"/>
    <mergeCell ref="A4:J4"/>
    <mergeCell ref="A15:J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5" min="3" style="0" width="18"/>
  </cols>
  <sheetData>
    <row r="1" customFormat="false" ht="21.75" hidden="false" customHeight="true" outlineLevel="0" collapsed="false">
      <c r="A1" s="1" t="s">
        <v>100</v>
      </c>
      <c r="B1" s="1"/>
      <c r="C1" s="1"/>
      <c r="D1" s="1"/>
      <c r="E1" s="1"/>
      <c r="F1" s="1"/>
      <c r="G1" s="1"/>
      <c r="H1" s="1"/>
    </row>
    <row r="2" customFormat="false" ht="15" hidden="false" customHeight="false" outlineLevel="0" collapsed="false">
      <c r="A2" s="2" t="s">
        <v>926</v>
      </c>
      <c r="B2" s="2"/>
      <c r="C2" s="2"/>
      <c r="D2" s="2"/>
      <c r="E2" s="2"/>
    </row>
    <row r="4" customFormat="false" ht="15" hidden="false" customHeight="false" outlineLevel="0" collapsed="false">
      <c r="A4" s="8" t="s">
        <v>927</v>
      </c>
      <c r="B4" s="8" t="s">
        <v>15</v>
      </c>
      <c r="C4" s="8" t="s">
        <v>697</v>
      </c>
      <c r="D4" s="8" t="s">
        <v>698</v>
      </c>
      <c r="E4" s="8" t="s">
        <v>928</v>
      </c>
    </row>
    <row r="6" customFormat="false" ht="15" hidden="false" customHeight="false" outlineLevel="0" collapsed="false">
      <c r="A6" s="3" t="s">
        <v>929</v>
      </c>
      <c r="B6" s="3"/>
      <c r="C6" s="3"/>
      <c r="D6" s="3"/>
      <c r="E6" s="3"/>
    </row>
    <row r="7" customFormat="false" ht="15" hidden="false" customHeight="false" outlineLevel="0" collapsed="false">
      <c r="A7" s="4" t="s">
        <v>138</v>
      </c>
      <c r="B7" s="7" t="s">
        <v>536</v>
      </c>
      <c r="C7" s="43" t="n">
        <f aca="false">Adjustments!C7</f>
        <v>327299.062356191</v>
      </c>
      <c r="D7" s="43" t="n">
        <f aca="false">Adjustments!D7</f>
        <v>273676.530566287</v>
      </c>
      <c r="E7" s="43" t="n">
        <f aca="false">AVERAGE(C7:D7)</f>
        <v>300487.796461239</v>
      </c>
    </row>
    <row r="8" customFormat="false" ht="15" hidden="false" customHeight="false" outlineLevel="0" collapsed="false">
      <c r="A8" s="4" t="s">
        <v>913</v>
      </c>
      <c r="B8" s="7" t="s">
        <v>536</v>
      </c>
      <c r="C8" s="43" t="n">
        <f aca="false">Adjustments!C12</f>
        <v>352299.062356191</v>
      </c>
      <c r="D8" s="43" t="n">
        <f aca="false">Adjustments!D12</f>
        <v>298676.530566287</v>
      </c>
      <c r="E8" s="43" t="n">
        <f aca="false">AVERAGE(C8:D8)</f>
        <v>325487.796461239</v>
      </c>
    </row>
    <row r="9" customFormat="false" ht="15" hidden="false" customHeight="false" outlineLevel="0" collapsed="false">
      <c r="A9" s="4" t="s">
        <v>916</v>
      </c>
      <c r="B9" s="7" t="s">
        <v>536</v>
      </c>
      <c r="C9" s="43" t="n">
        <f aca="false">Adjustments!C17</f>
        <v>281839.249884953</v>
      </c>
      <c r="D9" s="43" t="n">
        <f aca="false">Adjustments!D17</f>
        <v>238941.22445303</v>
      </c>
      <c r="E9" s="43" t="n">
        <f aca="false">AVERAGE(C9:D9)</f>
        <v>260390.237168991</v>
      </c>
    </row>
    <row r="10" customFormat="false" ht="15" hidden="false" customHeight="false" outlineLevel="0" collapsed="false">
      <c r="A10" s="4" t="s">
        <v>918</v>
      </c>
      <c r="B10" s="7" t="s">
        <v>536</v>
      </c>
      <c r="C10" s="43" t="n">
        <f aca="false">Adjustments!C20</f>
        <v>239563.36240221</v>
      </c>
      <c r="D10" s="43" t="n">
        <f aca="false">Adjustments!D20</f>
        <v>203100.040785075</v>
      </c>
      <c r="E10" s="43" t="n">
        <f aca="false">AVERAGE(C10:D10)</f>
        <v>221331.701593642</v>
      </c>
    </row>
    <row r="11" customFormat="false" ht="15" hidden="false" customHeight="false" outlineLevel="0" collapsed="false">
      <c r="A11" s="47" t="s">
        <v>921</v>
      </c>
      <c r="B11" s="7" t="s">
        <v>536</v>
      </c>
      <c r="C11" s="55" t="n">
        <f aca="false">Adjustments!C24</f>
        <v>239563.36240221</v>
      </c>
      <c r="D11" s="55" t="n">
        <f aca="false">Adjustments!D24</f>
        <v>203100.040785075</v>
      </c>
      <c r="E11" s="55" t="n">
        <f aca="false">AVERAGE(C11:D11)</f>
        <v>221331.701593642</v>
      </c>
    </row>
    <row r="13" customFormat="false" ht="15" hidden="false" customHeight="false" outlineLevel="0" collapsed="false">
      <c r="A13" s="3" t="s">
        <v>930</v>
      </c>
      <c r="B13" s="3"/>
      <c r="C13" s="3"/>
      <c r="D13" s="3"/>
      <c r="E13" s="3"/>
    </row>
    <row r="14" customFormat="false" ht="15" hidden="false" customHeight="false" outlineLevel="0" collapsed="false">
      <c r="A14" s="4" t="s">
        <v>931</v>
      </c>
      <c r="B14" s="7" t="s">
        <v>631</v>
      </c>
      <c r="C14" s="43" t="n">
        <f aca="false">IF(EXACT(unit,"'000"),1000,IF(EXACT(unit,"million"),1000000,1))</f>
        <v>1000</v>
      </c>
      <c r="D14" s="43" t="n">
        <f aca="false">IF(EXACT(unit,"'000"),1000,IF(EXACT(unit,"million"),1000000,1))</f>
        <v>1000</v>
      </c>
      <c r="E14" s="43"/>
    </row>
    <row r="15" customFormat="false" ht="15" hidden="false" customHeight="false" outlineLevel="0" collapsed="false">
      <c r="A15" s="4" t="s">
        <v>424</v>
      </c>
      <c r="B15" s="7" t="s">
        <v>932</v>
      </c>
      <c r="C15" s="43" t="n">
        <f aca="false">shares_outstanding</f>
        <v>250000000</v>
      </c>
      <c r="D15" s="43" t="n">
        <f aca="false">shares_outstanding</f>
        <v>250000000</v>
      </c>
      <c r="E15" s="43"/>
    </row>
    <row r="16" customFormat="false" ht="15" hidden="false" customHeight="false" outlineLevel="0" collapsed="false">
      <c r="A16" s="47" t="s">
        <v>933</v>
      </c>
      <c r="B16" s="7" t="s">
        <v>934</v>
      </c>
      <c r="C16" s="76" t="n">
        <f aca="false">IFERROR(Adjustments!C20*C14/C15,0)</f>
        <v>0.958253449608839</v>
      </c>
      <c r="D16" s="76" t="n">
        <f aca="false">IFERROR(Adjustments!D20*D14/D15,0)</f>
        <v>0.812400163140301</v>
      </c>
      <c r="E16" s="76" t="n">
        <f aca="false">AVERAGE(C16:D16)</f>
        <v>0.88532680637457</v>
      </c>
    </row>
    <row r="17" customFormat="false" ht="15" hidden="false" customHeight="false" outlineLevel="0" collapsed="false">
      <c r="A17" s="4" t="s">
        <v>428</v>
      </c>
      <c r="B17" s="7" t="s">
        <v>932</v>
      </c>
      <c r="C17" s="43" t="n">
        <f aca="false">shares_outstanding_diluted</f>
        <v>285000000</v>
      </c>
      <c r="D17" s="43" t="n">
        <f aca="false">shares_outstanding_diluted</f>
        <v>285000000</v>
      </c>
      <c r="E17" s="43"/>
    </row>
    <row r="18" customFormat="false" ht="15" hidden="false" customHeight="false" outlineLevel="0" collapsed="false">
      <c r="A18" s="4" t="s">
        <v>935</v>
      </c>
      <c r="B18" s="7" t="s">
        <v>934</v>
      </c>
      <c r="C18" s="77" t="n">
        <f aca="false">IFERROR(Adjustments!C20*C14/C17,0)</f>
        <v>0.840573201411262</v>
      </c>
      <c r="D18" s="77" t="n">
        <f aca="false">IFERROR(Adjustments!D20*D14/D17,0)</f>
        <v>0.712631722052895</v>
      </c>
      <c r="E18" s="77" t="n">
        <f aca="false">AVERAGE(C18:D18)</f>
        <v>0.776602461732079</v>
      </c>
    </row>
    <row r="20" customFormat="false" ht="15" hidden="false" customHeight="false" outlineLevel="0" collapsed="false">
      <c r="A20" s="3" t="s">
        <v>936</v>
      </c>
      <c r="B20" s="3"/>
      <c r="C20" s="3"/>
      <c r="D20" s="3"/>
      <c r="E20" s="3"/>
    </row>
    <row r="21" customFormat="false" ht="15" hidden="false" customHeight="false" outlineLevel="0" collapsed="false">
      <c r="A21" s="4" t="s">
        <v>70</v>
      </c>
      <c r="B21" s="7" t="s">
        <v>588</v>
      </c>
      <c r="C21" s="59" t="n">
        <f aca="false">wacc_per_mgmt</f>
        <v>0.139055295</v>
      </c>
      <c r="D21" s="59" t="n">
        <f aca="false">wacc_indep</f>
        <v>0.1558895</v>
      </c>
      <c r="E21" s="59"/>
    </row>
    <row r="22" customFormat="false" ht="15" hidden="false" customHeight="false" outlineLevel="0" collapsed="false">
      <c r="A22" s="4" t="s">
        <v>359</v>
      </c>
      <c r="B22" s="7" t="s">
        <v>588</v>
      </c>
      <c r="C22" s="59" t="n">
        <f aca="false">terminal_growth_rate</f>
        <v>0.03</v>
      </c>
      <c r="D22" s="59" t="n">
        <f aca="false">terminal_growth_rate</f>
        <v>0.03</v>
      </c>
      <c r="E22" s="59"/>
    </row>
  </sheetData>
  <mergeCells count="5">
    <mergeCell ref="A1:H1"/>
    <mergeCell ref="A2:E2"/>
    <mergeCell ref="A6:E6"/>
    <mergeCell ref="A13:E13"/>
    <mergeCell ref="A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78" t="s">
        <v>210</v>
      </c>
      <c r="B1" s="78" t="s">
        <v>212</v>
      </c>
      <c r="C1" s="78" t="s">
        <v>235</v>
      </c>
      <c r="D1" s="78" t="s">
        <v>354</v>
      </c>
      <c r="E1" s="78" t="s">
        <v>222</v>
      </c>
      <c r="F1" s="78" t="s">
        <v>224</v>
      </c>
      <c r="G1" s="78" t="s">
        <v>937</v>
      </c>
      <c r="H1" s="78" t="s">
        <v>253</v>
      </c>
    </row>
    <row r="2" customFormat="false" ht="15" hidden="false" customHeight="false" outlineLevel="0" collapsed="false">
      <c r="A2" s="0" t="s">
        <v>938</v>
      </c>
      <c r="B2" s="0" t="s">
        <v>213</v>
      </c>
      <c r="C2" s="0" t="s">
        <v>237</v>
      </c>
      <c r="D2" s="0" t="s">
        <v>356</v>
      </c>
      <c r="E2" s="0" t="s">
        <v>223</v>
      </c>
      <c r="F2" s="0" t="s">
        <v>226</v>
      </c>
      <c r="G2" s="0" t="s">
        <v>42</v>
      </c>
      <c r="H2" s="0" t="s">
        <v>237</v>
      </c>
    </row>
    <row r="3" customFormat="false" ht="15" hidden="false" customHeight="false" outlineLevel="0" collapsed="false">
      <c r="A3" s="0" t="s">
        <v>211</v>
      </c>
      <c r="B3" s="0" t="s">
        <v>484</v>
      </c>
      <c r="C3" s="0" t="s">
        <v>939</v>
      </c>
      <c r="D3" s="0" t="s">
        <v>940</v>
      </c>
      <c r="E3" s="0" t="s">
        <v>941</v>
      </c>
      <c r="F3" s="0" t="s">
        <v>942</v>
      </c>
      <c r="G3" s="0" t="s">
        <v>45</v>
      </c>
      <c r="H3" s="0" t="s">
        <v>943</v>
      </c>
    </row>
    <row r="4" customFormat="false" ht="15" hidden="false" customHeight="false" outlineLevel="0" collapsed="false">
      <c r="A4" s="0" t="s">
        <v>944</v>
      </c>
      <c r="B4" s="0" t="s">
        <v>945</v>
      </c>
      <c r="C4" s="0" t="s">
        <v>946</v>
      </c>
      <c r="E4" s="0" t="s">
        <v>947</v>
      </c>
      <c r="F4" s="0" t="s">
        <v>948</v>
      </c>
      <c r="G4" s="0" t="s">
        <v>48</v>
      </c>
      <c r="H4" s="0" t="s">
        <v>949</v>
      </c>
    </row>
    <row r="5" customFormat="false" ht="15" hidden="false" customHeight="false" outlineLevel="0" collapsed="false">
      <c r="A5" s="0" t="s">
        <v>950</v>
      </c>
      <c r="E5" s="0" t="s">
        <v>951</v>
      </c>
      <c r="G5" s="0" t="s">
        <v>952</v>
      </c>
      <c r="H5" s="0" t="s">
        <v>255</v>
      </c>
    </row>
    <row r="6" customFormat="false" ht="15" hidden="false" customHeight="false" outlineLevel="0" collapsed="false">
      <c r="A6" s="0" t="s">
        <v>953</v>
      </c>
      <c r="E6" s="0" t="s">
        <v>954</v>
      </c>
    </row>
    <row r="7" customFormat="false" ht="15" hidden="false" customHeight="false" outlineLevel="0" collapsed="false">
      <c r="E7" s="0" t="s">
        <v>955</v>
      </c>
    </row>
    <row r="8" customFormat="false" ht="15" hidden="false" customHeight="false" outlineLevel="0" collapsed="false">
      <c r="E8" s="0" t="s">
        <v>956</v>
      </c>
    </row>
    <row r="9" customFormat="false" ht="15" hidden="false" customHeight="false" outlineLevel="0" collapsed="false">
      <c r="E9" s="0" t="s">
        <v>957</v>
      </c>
    </row>
    <row r="10" customFormat="false" ht="15" hidden="false" customHeight="false" outlineLevel="0" collapsed="false">
      <c r="E10" s="0" t="s">
        <v>958</v>
      </c>
    </row>
    <row r="11" customFormat="false" ht="15" hidden="false" customHeight="false" outlineLevel="0" collapsed="false">
      <c r="E11" s="0" t="s">
        <v>959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960</v>
      </c>
    </row>
    <row r="2" customFormat="false" ht="15" hidden="false" customHeight="false" outlineLevel="0" collapsed="false">
      <c r="A2" s="0" t="s">
        <v>961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2026-08-21T07:51:04Z</dcterms:created>
  <dc:creator>openpyxl</dc:creator>
  <dc:description/>
  <dc:language>en-US</dc:language>
  <cp:lastModifiedBy/>
  <dcterms:modified xsi:type="dcterms:W3CDTF">2026-08-21T07:51:43Z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