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Historical FS" sheetId="4" state="visible" r:id="rId4"/>
    <sheet xmlns:r="http://schemas.openxmlformats.org/officeDocument/2006/relationships" name="Projections" sheetId="5" state="visible" r:id="rId5"/>
    <sheet xmlns:r="http://schemas.openxmlformats.org/officeDocument/2006/relationships" name="DCF" sheetId="6" state="visible" r:id="rId6"/>
    <sheet xmlns:r="http://schemas.openxmlformats.org/officeDocument/2006/relationships" name="DCF (Independent)" sheetId="7" state="visible" r:id="rId7"/>
    <sheet xmlns:r="http://schemas.openxmlformats.org/officeDocument/2006/relationships" name="Comps" sheetId="8" state="visible" r:id="rId8"/>
    <sheet xmlns:r="http://schemas.openxmlformats.org/officeDocument/2006/relationships" name="Football Field" sheetId="9" state="visible" r:id="rId9"/>
    <sheet xmlns:r="http://schemas.openxmlformats.org/officeDocument/2006/relationships" name="WACC" sheetId="10" state="visible" r:id="rId10"/>
    <sheet xmlns:r="http://schemas.openxmlformats.org/officeDocument/2006/relationships" name="CoCo Selection" sheetId="11" state="visible" r:id="rId11"/>
    <sheet xmlns:r="http://schemas.openxmlformats.org/officeDocument/2006/relationships" name="CoCo Multiples" sheetId="12" state="visible" r:id="rId12"/>
    <sheet xmlns:r="http://schemas.openxmlformats.org/officeDocument/2006/relationships" name="CoCo Margins" sheetId="13" state="visible" r:id="rId13"/>
    <sheet xmlns:r="http://schemas.openxmlformats.org/officeDocument/2006/relationships" name="CoCo Ratios" sheetId="14" state="visible" r:id="rId14"/>
    <sheet xmlns:r="http://schemas.openxmlformats.org/officeDocument/2006/relationships" name="CIQ Data Timeline" sheetId="15" state="visible" r:id="rId15"/>
    <sheet xmlns:r="http://schemas.openxmlformats.org/officeDocument/2006/relationships" name="Country ERP" sheetId="16" state="visible" r:id="rId16"/>
    <sheet xmlns:r="http://schemas.openxmlformats.org/officeDocument/2006/relationships" name="Industry Averages" sheetId="17" state="visible" r:id="rId17"/>
    <sheet xmlns:r="http://schemas.openxmlformats.org/officeDocument/2006/relationships" name="Adjustments" sheetId="18" state="visible" r:id="rId18"/>
    <sheet xmlns:r="http://schemas.openxmlformats.org/officeDocument/2006/relationships" name="Sensitivity" sheetId="19" state="visible" r:id="rId19"/>
    <sheet xmlns:r="http://schemas.openxmlformats.org/officeDocument/2006/relationships" name="Valuation Summary" sheetId="20" state="visible" r:id="rId20"/>
    <sheet xmlns:r="http://schemas.openxmlformats.org/officeDocument/2006/relationships"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report_purpose">'Inputs'!$D$11</definedName>
    <definedName name="accounting_standard">'Inputs'!$D$12</definedName>
    <definedName name="engagement_team_partner">'Inputs'!$D$13</definedName>
    <definedName name="engagement_team_manager">'Inputs'!$D$14</definedName>
    <definedName name="engagement_department">'Inputs'!$D$15</definedName>
    <definedName name="client_name">'Inputs'!$D$16</definedName>
    <definedName name="currency">'Inputs'!$D$19</definedName>
    <definedName name="unit">'Inputs'!$D$20</definedName>
    <definedName name="currency_alt">'Inputs'!$D$21</definedName>
    <definedName name="fx_rate_alt">'Inputs'!$D$22</definedName>
    <definedName name="tax_jurisdiction">'Inputs'!$D$25</definedName>
    <definedName name="tax_type">'Inputs'!$D$26</definedName>
    <definedName name="tax_rate_low">'Inputs'!$D$27</definedName>
    <definedName name="tax_rate_high">'Inputs'!$D$28</definedName>
    <definedName name="tax_threshold">'Inputs'!$D$29</definedName>
    <definedName name="tax_effective_rate">'Inputs'!$D$30</definedName>
    <definedName name="projection_years">'Inputs'!$D$33</definedName>
    <definedName name="revenue_growth_method">'Inputs'!$D$34</definedName>
    <definedName name="revenue_y0">'Inputs'!$D$35</definedName>
    <definedName name="nwc_y0">'Inputs'!$D$36</definedName>
    <definedName name="gross_profit_y0">'Inputs'!$D$37</definedName>
    <definedName name="opex_y0">'Inputs'!$D$38</definedName>
    <definedName name="ebitda_y0">'Inputs'!$D$39</definedName>
    <definedName name="ebit_y0">'Inputs'!$D$40</definedName>
    <definedName name="tax_y0">'Inputs'!$D$41</definedName>
    <definedName name="net_income_y0">'Inputs'!$D$42</definedName>
    <definedName name="revenue_growth_y1">'Inputs'!$D$43</definedName>
    <definedName name="revenue_growth_y2">'Inputs'!$D$44</definedName>
    <definedName name="revenue_growth_y3">'Inputs'!$D$45</definedName>
    <definedName name="revenue_growth_y4">'Inputs'!$D$46</definedName>
    <definedName name="revenue_growth_y5">'Inputs'!$D$47</definedName>
    <definedName name="revenue_growth_primary_y1">'Inputs'!$D$48</definedName>
    <definedName name="revenue_growth_primary_y2">'Inputs'!$D$49</definedName>
    <definedName name="revenue_growth_primary_y3">'Inputs'!$D$50</definedName>
    <definedName name="revenue_growth_primary_y4">'Inputs'!$D$51</definedName>
    <definedName name="revenue_growth_primary_y5">'Inputs'!$D$52</definedName>
    <definedName name="gross_margin_y1">'Inputs'!$D$53</definedName>
    <definedName name="gross_margin_y2">'Inputs'!$D$54</definedName>
    <definedName name="gross_margin_y3">'Inputs'!$D$55</definedName>
    <definedName name="gross_margin_y4">'Inputs'!$D$56</definedName>
    <definedName name="gross_margin_y5">'Inputs'!$D$57</definedName>
    <definedName name="opex_pct_revenue_y1">'Inputs'!$D$58</definedName>
    <definedName name="opex_pct_revenue_y2">'Inputs'!$D$59</definedName>
    <definedName name="opex_pct_revenue_y3">'Inputs'!$D$60</definedName>
    <definedName name="opex_pct_revenue_y4">'Inputs'!$D$61</definedName>
    <definedName name="opex_pct_revenue_y5">'Inputs'!$D$62</definedName>
    <definedName name="capex_pct_revenue_y1">'Inputs'!$D$63</definedName>
    <definedName name="capex_pct_revenue_y2">'Inputs'!$D$64</definedName>
    <definedName name="capex_pct_revenue_y3">'Inputs'!$D$65</definedName>
    <definedName name="capex_pct_revenue_y4">'Inputs'!$D$66</definedName>
    <definedName name="capex_pct_revenue_y5">'Inputs'!$D$67</definedName>
    <definedName name="dep_pct_revenue_y1">'Inputs'!$D$68</definedName>
    <definedName name="dep_pct_revenue_y2">'Inputs'!$D$69</definedName>
    <definedName name="dep_pct_revenue_y3">'Inputs'!$D$70</definedName>
    <definedName name="dep_pct_revenue_y4">'Inputs'!$D$71</definedName>
    <definedName name="dep_pct_revenue_y5">'Inputs'!$D$72</definedName>
    <definedName name="nwc_pct_sales_y1">'Inputs'!$D$73</definedName>
    <definedName name="nwc_pct_sales_y2">'Inputs'!$D$74</definedName>
    <definedName name="nwc_pct_sales_y3">'Inputs'!$D$75</definedName>
    <definedName name="nwc_pct_sales_y4">'Inputs'!$D$76</definedName>
    <definedName name="nwc_pct_sales_y5">'Inputs'!$D$77</definedName>
    <definedName name="terminal_method">'Inputs'!$D$80</definedName>
    <definedName name="terminal_growth_rate">'Inputs'!$D$81</definedName>
    <definedName name="terminal_exit_multiple_type">'Inputs'!$D$82</definedName>
    <definedName name="terminal_exit_multiple_value">'Inputs'!$D$83</definedName>
    <definedName name="terminal_nominal_gdp_growth">'Inputs'!$D$84</definedName>
    <definedName name="risk_free_rate">'Inputs'!$D$87</definedName>
    <definedName name="risk_free_rate_source">'Inputs'!$D$88</definedName>
    <definedName name="equity_risk_premium">'Inputs'!$D$89</definedName>
    <definedName name="country_risk_premium">'Inputs'!$D$90</definedName>
    <definedName name="unlevered_beta_per_mgmt">'Inputs'!$D$91</definedName>
    <definedName name="unlevered_beta_indep">'Inputs'!$E$91</definedName>
    <definedName name="target_debt_to_equity_per_mgmt">'Inputs'!$D$92</definedName>
    <definedName name="target_debt_to_equity_indep">'Inputs'!$E$92</definedName>
    <definedName name="levered_beta_per_mgmt">'Inputs'!$D$93</definedName>
    <definedName name="levered_beta_indep">'Inputs'!$E$93</definedName>
    <definedName name="size_premium_per_mgmt">'Inputs'!$D$94</definedName>
    <definedName name="size_premium_indep">'Inputs'!$E$94</definedName>
    <definedName name="specific_risk_premium_per_mgmt">'Inputs'!$D$95</definedName>
    <definedName name="specific_risk_premium_indep">'Inputs'!$E$95</definedName>
    <definedName name="cost_of_equity_per_mgmt">'Inputs'!$D$96</definedName>
    <definedName name="cost_of_equity_indep">'Inputs'!$E$96</definedName>
    <definedName name="pretax_cost_of_debt_per_mgmt">'Inputs'!$D$97</definedName>
    <definedName name="pretax_cost_of_debt_indep">'Inputs'!$E$97</definedName>
    <definedName name="aftertax_cost_of_debt_per_mgmt">'Inputs'!$D$98</definedName>
    <definedName name="aftertax_cost_of_debt_indep">'Inputs'!$E$98</definedName>
    <definedName name="target_debt_weight_per_mgmt">'Inputs'!$D$99</definedName>
    <definedName name="target_debt_weight_indep">'Inputs'!$E$99</definedName>
    <definedName name="target_equity_weight_per_mgmt">'Inputs'!$D$100</definedName>
    <definedName name="target_equity_weight_indep">'Inputs'!$E$100</definedName>
    <definedName name="wacc_per_mgmt">'Inputs'!$D$101</definedName>
    <definedName name="wacc_indep">'Inputs'!$E$101</definedName>
    <definedName name="surplus_assets">'Inputs'!$D$104</definedName>
    <definedName name="net_debt_override">'Inputs'!$D$105</definedName>
    <definedName name="minority_interests">'Inputs'!$D$106</definedName>
    <definedName name="non_operating_assets">'Inputs'!$D$107</definedName>
    <definedName name="dlom_pct">'Inputs'!$D$108</definedName>
    <definedName name="dloc_pct">'Inputs'!$D$109</definedName>
    <definedName name="equity_interest_pct">'Inputs'!$D$110</definedName>
    <definedName name="shares_outstanding">'Inputs'!$D$111</definedName>
    <definedName name="shares_outstanding_diluted">'Inputs'!$D$112</definedName>
    <definedName name="pre_money_pct">'Inputs'!$D$113</definedName>
    <definedName name="capitalize_rd">'Inputs'!$D$116</definedName>
    <definedName name="rd_amortization_years">'Inputs'!$D$117</definedName>
    <definedName name="convert_operating_leases">'Inputs'!$D$118</definedName>
    <definedName name="lease_discount_rate">'Inputs'!$D$119</definedName>
    <definedName name="weight_dcf">'Inputs'!$D$122</definedName>
    <definedName name="weight_comps">'Inputs'!$D$123</definedName>
    <definedName name="weight_precedent">'Inputs'!$D$124</definedName>
    <definedName name="weight_nav">'Inputs'!$D$125</definedName>
    <definedName name="selected_low">'Inputs'!$D$126</definedName>
    <definedName name="selected_mid">'Inputs'!$D$127</definedName>
    <definedName name="selected_high">'Inputs'!$D$128</definedName>
    <definedName name="sens_wacc_step">'Inputs'!$D$131</definedName>
    <definedName name="sens_wacc_count">'Inputs'!$D$132</definedName>
    <definedName name="sens_terminal_g_step">'Inputs'!$D$133</definedName>
    <definedName name="sens_terminal_g_count">'Inputs'!$D$134</definedName>
    <definedName name="sens_revenue_g_step">'Inputs'!$D$135</definedName>
    <definedName name="sens_ebitda_margin_step">'Inputs'!$D$136</definedName>
    <definedName name="cocos_table">'Inputs'!$A$140:$L$169</definedName>
    <definedName name="precedents_table">'Inputs'!$A$173:$I$187</definedName>
    <definedName name="segments_table">'Inputs'!$A$192:$U$199</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3" fontId="4" fillId="0" borderId="0" pivotButton="0" quotePrefix="0" xfId="0"/>
    <xf numFmtId="0" fontId="3"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0" fontId="1" fillId="2"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Report purpose</t>
        </is>
      </c>
      <c r="C9" s="5">
        <f>report_purpose</f>
        <v/>
      </c>
    </row>
    <row r="10">
      <c r="B10" s="4" t="inlineStr">
        <is>
          <t>Accounting standard</t>
        </is>
      </c>
      <c r="C10" s="5">
        <f>accounting_standard</f>
        <v/>
      </c>
    </row>
    <row r="11">
      <c r="B11" s="4" t="inlineStr">
        <is>
          <t>Client (engaging party)</t>
        </is>
      </c>
      <c r="C11" s="5">
        <f>client_name</f>
        <v/>
      </c>
    </row>
    <row r="12">
      <c r="B12" s="4" t="inlineStr">
        <is>
          <t>Engagement partner</t>
        </is>
      </c>
      <c r="C12" s="5">
        <f>engagement_team_partner</f>
        <v/>
      </c>
    </row>
    <row r="13">
      <c r="B13" s="4" t="inlineStr">
        <is>
          <t>Engagement manager</t>
        </is>
      </c>
      <c r="C13" s="5">
        <f>engagement_team_manager</f>
        <v/>
      </c>
    </row>
    <row r="14">
      <c r="B14" s="4" t="inlineStr">
        <is>
          <t>Department</t>
        </is>
      </c>
      <c r="C14"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Field'!B7</f>
        <v/>
      </c>
      <c r="D13" s="18">
        <f>'Football Field'!C7</f>
        <v/>
      </c>
      <c r="E13" s="18">
        <f>'Football Field'!D7</f>
        <v/>
      </c>
      <c r="F13" s="23">
        <f>weight_dcf</f>
        <v/>
      </c>
      <c r="G13" s="18">
        <f>'Football Field'!F7</f>
        <v/>
      </c>
      <c r="H13" s="22" t="inlineStr">
        <is>
          <t>Per-Mgmt vs Independent WACC.</t>
        </is>
      </c>
    </row>
    <row r="14">
      <c r="B14" s="22" t="inlineStr">
        <is>
          <t>Comparable Companies</t>
        </is>
      </c>
      <c r="C14" s="18">
        <f>'Football Field'!B11</f>
        <v/>
      </c>
      <c r="D14" s="18">
        <f>'Football Field'!C11</f>
        <v/>
      </c>
      <c r="E14" s="18">
        <f>'Football Field'!D11</f>
        <v/>
      </c>
      <c r="F14" s="23">
        <f>weight_comps</f>
        <v/>
      </c>
      <c r="G14" s="18">
        <f>'Football Field'!F11</f>
        <v/>
      </c>
      <c r="H14" s="22" t="inlineStr">
        <is>
          <t>Cross-check vs DCF (±10% band).</t>
        </is>
      </c>
    </row>
    <row r="15">
      <c r="B15" s="22" t="inlineStr">
        <is>
          <t>Precedent Transactions</t>
        </is>
      </c>
      <c r="C15" s="18">
        <f>'Football Field'!B12</f>
        <v/>
      </c>
      <c r="D15" s="18">
        <f>'Football Field'!C12</f>
        <v/>
      </c>
      <c r="E15" s="18">
        <f>'Football Field'!D12</f>
        <v/>
      </c>
      <c r="F15" s="23">
        <f>weight_precedent</f>
        <v/>
      </c>
      <c r="G15" s="18">
        <f>'Football Field'!F12</f>
        <v/>
      </c>
      <c r="H15" s="22" t="inlineStr">
        <is>
          <t>Cross-check vs DCF (±10% band).</t>
        </is>
      </c>
    </row>
    <row r="17">
      <c r="B17" s="5" t="inlineStr">
        <is>
          <t>Concluded EV (DCF primary)</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99"/>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report_purpose</t>
        </is>
      </c>
      <c r="B11" s="4" t="inlineStr">
        <is>
          <t>Report purpose</t>
        </is>
      </c>
      <c r="C11" s="2" t="inlineStr">
        <is>
          <t>enum</t>
        </is>
      </c>
      <c r="D11" s="32" t="n"/>
      <c r="E11" s="32" t="n"/>
      <c r="F11" s="33" t="n"/>
      <c r="G11" s="33" t="n"/>
      <c r="H11" s="33" t="n"/>
    </row>
    <row r="12">
      <c r="A12" s="31" t="inlineStr">
        <is>
          <t>accounting_standard</t>
        </is>
      </c>
      <c r="B12" s="4" t="inlineStr">
        <is>
          <t>Accounting standard</t>
        </is>
      </c>
      <c r="C12" s="2" t="inlineStr">
        <is>
          <t>enum</t>
        </is>
      </c>
      <c r="D12" s="32" t="n"/>
      <c r="E12" s="32" t="n"/>
      <c r="F12" s="33" t="n"/>
      <c r="G12" s="33" t="n"/>
      <c r="H12" s="33" t="n"/>
    </row>
    <row r="13">
      <c r="A13" s="31" t="inlineStr">
        <is>
          <t>engagement_team_partner</t>
        </is>
      </c>
      <c r="B13" s="4" t="inlineStr">
        <is>
          <t>Engagement partner</t>
        </is>
      </c>
      <c r="C13" s="2" t="inlineStr">
        <is>
          <t>text</t>
        </is>
      </c>
      <c r="D13" s="32" t="n"/>
      <c r="E13" s="32" t="n"/>
      <c r="F13" s="33" t="n"/>
      <c r="G13" s="33" t="n"/>
      <c r="H13" s="33" t="n"/>
    </row>
    <row r="14">
      <c r="A14" s="31" t="inlineStr">
        <is>
          <t>engagement_team_manager</t>
        </is>
      </c>
      <c r="B14" s="4" t="inlineStr">
        <is>
          <t>Engagement manager</t>
        </is>
      </c>
      <c r="C14" s="2" t="inlineStr">
        <is>
          <t>text</t>
        </is>
      </c>
      <c r="D14" s="32" t="n"/>
      <c r="E14" s="32" t="n"/>
      <c r="F14" s="33" t="n"/>
      <c r="G14" s="33" t="n"/>
      <c r="H14" s="33" t="n"/>
    </row>
    <row r="15">
      <c r="A15" s="31" t="inlineStr">
        <is>
          <t>engagement_department</t>
        </is>
      </c>
      <c r="B15" s="4" t="inlineStr">
        <is>
          <t>Department</t>
        </is>
      </c>
      <c r="C15" s="2" t="inlineStr">
        <is>
          <t>text</t>
        </is>
      </c>
      <c r="D15" s="32" t="n"/>
      <c r="E15" s="32" t="n"/>
      <c r="F15" s="33" t="n"/>
      <c r="G15" s="33" t="n"/>
      <c r="H15" s="33" t="n"/>
    </row>
    <row r="16">
      <c r="A16" s="31" t="inlineStr">
        <is>
          <t>client_name</t>
        </is>
      </c>
      <c r="B16" s="4" t="inlineStr">
        <is>
          <t>Client (engaging party)</t>
        </is>
      </c>
      <c r="C16" s="2" t="inlineStr">
        <is>
          <t>text</t>
        </is>
      </c>
      <c r="D16" s="32" t="n"/>
      <c r="E16" s="32" t="n"/>
      <c r="F16" s="33" t="n"/>
      <c r="G16" s="33" t="n"/>
      <c r="H16" s="33" t="n"/>
    </row>
    <row r="18" ht="18" customHeight="1">
      <c r="A18" s="3" t="inlineStr">
        <is>
          <t>Section B — Currency &amp; units  (Core)</t>
        </is>
      </c>
    </row>
    <row r="19">
      <c r="A19" s="31" t="inlineStr">
        <is>
          <t>currency</t>
        </is>
      </c>
      <c r="B19" s="4" t="inlineStr">
        <is>
          <t>Reporting currency</t>
        </is>
      </c>
      <c r="C19" s="2" t="inlineStr">
        <is>
          <t>enum</t>
        </is>
      </c>
      <c r="D19" s="32" t="n"/>
      <c r="E19" s="32" t="n"/>
      <c r="F19" s="33" t="n"/>
      <c r="G19" s="33" t="n"/>
      <c r="H19" s="33" t="n"/>
    </row>
    <row r="20">
      <c r="A20" s="31" t="inlineStr">
        <is>
          <t>unit</t>
        </is>
      </c>
      <c r="B20" s="4" t="inlineStr">
        <is>
          <t>Unit of presentation</t>
        </is>
      </c>
      <c r="C20" s="2" t="inlineStr">
        <is>
          <t>enum</t>
        </is>
      </c>
      <c r="D20" s="32" t="n"/>
      <c r="E20" s="32" t="n"/>
      <c r="F20" s="33" t="n"/>
      <c r="G20" s="33" t="n"/>
      <c r="H20" s="33" t="n"/>
    </row>
    <row r="21">
      <c r="A21" s="31" t="inlineStr">
        <is>
          <t>currency_alt</t>
        </is>
      </c>
      <c r="B21" s="4" t="inlineStr">
        <is>
          <t>Secondary display currency (optional)</t>
        </is>
      </c>
      <c r="C21" s="2" t="inlineStr">
        <is>
          <t>enum</t>
        </is>
      </c>
      <c r="D21" s="32" t="n"/>
      <c r="E21" s="32" t="n"/>
      <c r="F21" s="33" t="n"/>
      <c r="G21" s="33" t="n"/>
      <c r="H21" s="33" t="n"/>
    </row>
    <row r="22">
      <c r="A22" s="31" t="inlineStr">
        <is>
          <t>fx_rate_alt</t>
        </is>
      </c>
      <c r="B22" s="4" t="inlineStr">
        <is>
          <t>FX rate to alternate currency</t>
        </is>
      </c>
      <c r="C22" s="2" t="inlineStr">
        <is>
          <t>number</t>
        </is>
      </c>
      <c r="D22" s="32" t="n"/>
      <c r="E22" s="32" t="n"/>
      <c r="F22" s="33" t="n"/>
      <c r="G22" s="33" t="n"/>
      <c r="H22" s="33" t="n"/>
    </row>
    <row r="24" ht="18" customHeight="1">
      <c r="A24" s="3" t="inlineStr">
        <is>
          <t>Section C — Tax rule  (Core)</t>
        </is>
      </c>
    </row>
    <row r="25">
      <c r="A25" s="31" t="inlineStr">
        <is>
          <t>tax_jurisdiction</t>
        </is>
      </c>
      <c r="B25" s="4" t="inlineStr">
        <is>
          <t>Tax jurisdiction</t>
        </is>
      </c>
      <c r="C25" s="2" t="inlineStr">
        <is>
          <t>enum</t>
        </is>
      </c>
      <c r="D25" s="32" t="n"/>
      <c r="E25" s="32" t="n"/>
      <c r="F25" s="33" t="n"/>
      <c r="G25" s="33" t="n"/>
      <c r="H25" s="33" t="n"/>
    </row>
    <row r="26">
      <c r="A26" s="31" t="inlineStr">
        <is>
          <t>tax_type</t>
        </is>
      </c>
      <c r="B26" s="4" t="inlineStr">
        <is>
          <t>Tax structure</t>
        </is>
      </c>
      <c r="C26" s="2" t="inlineStr">
        <is>
          <t>enum</t>
        </is>
      </c>
      <c r="D26" s="32" t="n"/>
      <c r="E26" s="32" t="n"/>
      <c r="F26" s="33" t="n"/>
      <c r="G26" s="33" t="n"/>
      <c r="H26" s="34" t="inlineStr">
        <is>
          <t>flat | two_tier | progressive</t>
        </is>
      </c>
    </row>
    <row r="27">
      <c r="A27" s="31" t="inlineStr">
        <is>
          <t>tax_rate_low</t>
        </is>
      </c>
      <c r="B27" s="4" t="inlineStr">
        <is>
          <t>Low-tier rate</t>
        </is>
      </c>
      <c r="C27" s="2" t="inlineStr">
        <is>
          <t>percentage</t>
        </is>
      </c>
      <c r="D27" s="32" t="n"/>
      <c r="E27" s="32" t="n"/>
      <c r="F27" s="33" t="n"/>
      <c r="G27" s="33" t="n"/>
      <c r="H27" s="33" t="n"/>
    </row>
    <row r="28">
      <c r="A28" s="31" t="inlineStr">
        <is>
          <t>tax_rate_high</t>
        </is>
      </c>
      <c r="B28" s="4" t="inlineStr">
        <is>
          <t>High-tier rate (or flat rate)</t>
        </is>
      </c>
      <c r="C28" s="2" t="inlineStr">
        <is>
          <t>percentage</t>
        </is>
      </c>
      <c r="D28" s="32" t="n"/>
      <c r="E28" s="32" t="n"/>
      <c r="F28" s="33" t="n"/>
      <c r="G28" s="33" t="n"/>
      <c r="H28" s="33" t="n"/>
    </row>
    <row r="29">
      <c r="A29" s="31" t="inlineStr">
        <is>
          <t>tax_threshold</t>
        </is>
      </c>
      <c r="B29" s="4" t="inlineStr">
        <is>
          <t>Threshold between tiers</t>
        </is>
      </c>
      <c r="C29" s="2" t="inlineStr">
        <is>
          <t>currency</t>
        </is>
      </c>
      <c r="D29" s="32" t="n"/>
      <c r="E29" s="32" t="n"/>
      <c r="F29" s="33" t="n"/>
      <c r="G29" s="33" t="n"/>
      <c r="H29" s="33" t="n"/>
    </row>
    <row r="30">
      <c r="A30" s="31" t="inlineStr">
        <is>
          <t>tax_effective_rate</t>
        </is>
      </c>
      <c r="B30" s="4" t="inlineStr">
        <is>
          <t>Effective rate (override)</t>
        </is>
      </c>
      <c r="C30" s="2" t="inlineStr">
        <is>
          <t>percentage</t>
        </is>
      </c>
      <c r="D30" s="32" t="n"/>
      <c r="E30" s="32" t="n"/>
      <c r="F30" s="33" t="n"/>
      <c r="G30" s="33" t="n"/>
      <c r="H30" s="33" t="n"/>
    </row>
    <row r="32" ht="18" customHeight="1">
      <c r="A32" s="3" t="inlineStr">
        <is>
          <t>Section D — Projection drivers  (Core)</t>
        </is>
      </c>
    </row>
    <row r="33">
      <c r="A33" s="31" t="inlineStr">
        <is>
          <t>projection_years</t>
        </is>
      </c>
      <c r="B33" s="4" t="inlineStr">
        <is>
          <t>Explicit forecast years</t>
        </is>
      </c>
      <c r="C33" s="2" t="inlineStr">
        <is>
          <t>number</t>
        </is>
      </c>
      <c r="D33" s="32" t="n"/>
      <c r="E33" s="32" t="n"/>
      <c r="F33" s="33" t="n"/>
      <c r="G33" s="33" t="n"/>
      <c r="H33" s="33" t="n"/>
    </row>
    <row r="34">
      <c r="A34" s="31" t="inlineStr">
        <is>
          <t>revenue_growth_method</t>
        </is>
      </c>
      <c r="B34" s="4" t="inlineStr">
        <is>
          <t>Revenue growth method</t>
        </is>
      </c>
      <c r="C34" s="2" t="inlineStr">
        <is>
          <t>enum</t>
        </is>
      </c>
      <c r="D34" s="32" t="n"/>
      <c r="E34" s="32" t="n"/>
      <c r="F34" s="33" t="n"/>
      <c r="G34" s="33" t="n"/>
      <c r="H34" s="34" t="inlineStr">
        <is>
          <t>flat | declining | staged | per_year</t>
        </is>
      </c>
    </row>
    <row r="35">
      <c r="A35" s="31" t="inlineStr">
        <is>
          <t>revenue_y0</t>
        </is>
      </c>
      <c r="B35" s="4" t="inlineStr">
        <is>
          <t>Revenue base (Y0 / LTM)</t>
        </is>
      </c>
      <c r="C35" s="2" t="inlineStr">
        <is>
          <t>currency</t>
        </is>
      </c>
      <c r="D35" s="32" t="n"/>
      <c r="E35" s="32" t="n"/>
      <c r="F35" s="33" t="n"/>
      <c r="G35" s="33" t="n"/>
      <c r="H35" s="34" t="inlineStr">
        <is>
          <t>Last reported full-year revenue; cascades into Projections</t>
        </is>
      </c>
    </row>
    <row r="36">
      <c r="A36" s="31" t="inlineStr">
        <is>
          <t>nwc_y0</t>
        </is>
      </c>
      <c r="B36" s="4" t="inlineStr">
        <is>
          <t>Net working capital (Y0)</t>
        </is>
      </c>
      <c r="C36" s="2" t="inlineStr">
        <is>
          <t>currency</t>
        </is>
      </c>
      <c r="D36" s="32" t="n"/>
      <c r="E36" s="32" t="n"/>
      <c r="F36" s="33" t="n"/>
      <c r="G36" s="33" t="n"/>
      <c r="H36" s="34" t="inlineStr">
        <is>
          <t>Audited Y0 NWC; required for Y1 ΔNWC computation</t>
        </is>
      </c>
    </row>
    <row r="37">
      <c r="A37" s="31" t="inlineStr">
        <is>
          <t>gross_profit_y0</t>
        </is>
      </c>
      <c r="B37" s="4" t="inlineStr">
        <is>
          <t>Gross profit (Y0)</t>
        </is>
      </c>
      <c r="C37" s="2" t="inlineStr">
        <is>
          <t>currency</t>
        </is>
      </c>
      <c r="D37" s="32" t="n"/>
      <c r="E37" s="32" t="n"/>
      <c r="F37" s="33" t="n"/>
      <c r="G37" s="33" t="n"/>
      <c r="H37" s="34" t="inlineStr">
        <is>
          <t>Audited Y0 gross profit; populates the Projections Y0 gross-profit cell</t>
        </is>
      </c>
    </row>
    <row r="38">
      <c r="A38" s="31" t="inlineStr">
        <is>
          <t>opex_y0</t>
        </is>
      </c>
      <c r="B38" s="4" t="inlineStr">
        <is>
          <t>Operating expenses (Y0)</t>
        </is>
      </c>
      <c r="C38" s="2" t="inlineStr">
        <is>
          <t>currency</t>
        </is>
      </c>
      <c r="D38" s="32" t="n"/>
      <c r="E38" s="32" t="n"/>
      <c r="F38" s="33" t="n"/>
      <c r="G38" s="33" t="n"/>
      <c r="H38" s="34" t="inlineStr">
        <is>
          <t>Audited Y0 opex (negative); populates the Projections Y0 opex cell</t>
        </is>
      </c>
    </row>
    <row r="39">
      <c r="A39" s="31" t="inlineStr">
        <is>
          <t>ebitda_y0</t>
        </is>
      </c>
      <c r="B39" s="4" t="inlineStr">
        <is>
          <t>EBITDA (Y0)</t>
        </is>
      </c>
      <c r="C39" s="2" t="inlineStr">
        <is>
          <t>currency</t>
        </is>
      </c>
      <c r="D39" s="32" t="n"/>
      <c r="E39" s="32" t="n"/>
      <c r="F39" s="33" t="n"/>
      <c r="G39" s="33" t="n"/>
      <c r="H39" s="34" t="inlineStr">
        <is>
          <t>Audited Y0 EBITDA; populates the Projections Y0 EBITDA cell</t>
        </is>
      </c>
    </row>
    <row r="40">
      <c r="A40" s="31" t="inlineStr">
        <is>
          <t>ebit_y0</t>
        </is>
      </c>
      <c r="B40" s="4" t="inlineStr">
        <is>
          <t>EBIT (Y0)</t>
        </is>
      </c>
      <c r="C40" s="2" t="inlineStr">
        <is>
          <t>currency</t>
        </is>
      </c>
      <c r="D40" s="32" t="n"/>
      <c r="E40" s="32" t="n"/>
      <c r="F40" s="33" t="n"/>
      <c r="G40" s="33" t="n"/>
      <c r="H40" s="34" t="inlineStr">
        <is>
          <t>Audited Y0 EBIT; populates the Projections Y0 EBIT cell</t>
        </is>
      </c>
    </row>
    <row r="41">
      <c r="A41" s="31" t="inlineStr">
        <is>
          <t>tax_y0</t>
        </is>
      </c>
      <c r="B41" s="4" t="inlineStr">
        <is>
          <t>Tax (Y0)</t>
        </is>
      </c>
      <c r="C41" s="2" t="inlineStr">
        <is>
          <t>currency</t>
        </is>
      </c>
      <c r="D41" s="32" t="n"/>
      <c r="E41" s="32" t="n"/>
      <c r="F41" s="33" t="n"/>
      <c r="G41" s="33" t="n"/>
      <c r="H41" s="34" t="inlineStr">
        <is>
          <t>Audited Y0 tax expense (negative); populates the Projections Y0 tax cell</t>
        </is>
      </c>
    </row>
    <row r="42">
      <c r="A42" s="31" t="inlineStr">
        <is>
          <t>net_income_y0</t>
        </is>
      </c>
      <c r="B42" s="4" t="inlineStr">
        <is>
          <t>Net income (Y0)</t>
        </is>
      </c>
      <c r="C42" s="2" t="inlineStr">
        <is>
          <t>currency</t>
        </is>
      </c>
      <c r="D42" s="32" t="n"/>
      <c r="E42" s="32" t="n"/>
      <c r="F42" s="33" t="n"/>
      <c r="G42" s="33" t="n"/>
      <c r="H42" s="34" t="inlineStr">
        <is>
          <t>Audited Y0 net income; populates the Projections Y0 net-income cell</t>
        </is>
      </c>
    </row>
    <row r="43">
      <c r="A43" s="31" t="inlineStr">
        <is>
          <t>revenue_growth_y1</t>
        </is>
      </c>
      <c r="B43" s="4" t="inlineStr">
        <is>
          <t>Revenue growth (total) (Y1)</t>
        </is>
      </c>
      <c r="C43" s="2" t="inlineStr">
        <is>
          <t>percentage</t>
        </is>
      </c>
      <c r="D43" s="32" t="n"/>
      <c r="E43" s="32" t="n"/>
      <c r="F43" s="33" t="n"/>
      <c r="G43" s="33" t="n"/>
      <c r="H43" s="33" t="n"/>
    </row>
    <row r="44">
      <c r="A44" s="31" t="inlineStr">
        <is>
          <t>revenue_growth_y2</t>
        </is>
      </c>
      <c r="B44" s="4" t="inlineStr">
        <is>
          <t>Revenue growth (total) (Y2)</t>
        </is>
      </c>
      <c r="C44" s="2" t="inlineStr">
        <is>
          <t>percentage</t>
        </is>
      </c>
      <c r="D44" s="32" t="n"/>
      <c r="E44" s="32" t="n"/>
      <c r="F44" s="33" t="n"/>
      <c r="G44" s="33" t="n"/>
      <c r="H44" s="33" t="n"/>
    </row>
    <row r="45">
      <c r="A45" s="31" t="inlineStr">
        <is>
          <t>revenue_growth_y3</t>
        </is>
      </c>
      <c r="B45" s="4" t="inlineStr">
        <is>
          <t>Revenue growth (total) (Y3)</t>
        </is>
      </c>
      <c r="C45" s="2" t="inlineStr">
        <is>
          <t>percentage</t>
        </is>
      </c>
      <c r="D45" s="32" t="n"/>
      <c r="E45" s="32" t="n"/>
      <c r="F45" s="33" t="n"/>
      <c r="G45" s="33" t="n"/>
      <c r="H45" s="33" t="n"/>
    </row>
    <row r="46">
      <c r="A46" s="31" t="inlineStr">
        <is>
          <t>revenue_growth_y4</t>
        </is>
      </c>
      <c r="B46" s="4" t="inlineStr">
        <is>
          <t>Revenue growth (total) (Y4)</t>
        </is>
      </c>
      <c r="C46" s="2" t="inlineStr">
        <is>
          <t>percentage</t>
        </is>
      </c>
      <c r="D46" s="32" t="n"/>
      <c r="E46" s="32" t="n"/>
      <c r="F46" s="33" t="n"/>
      <c r="G46" s="33" t="n"/>
      <c r="H46" s="33" t="n"/>
    </row>
    <row r="47">
      <c r="A47" s="31" t="inlineStr">
        <is>
          <t>revenue_growth_y5</t>
        </is>
      </c>
      <c r="B47" s="4" t="inlineStr">
        <is>
          <t>Revenue growth (total) (Y5)</t>
        </is>
      </c>
      <c r="C47" s="2" t="inlineStr">
        <is>
          <t>percentage</t>
        </is>
      </c>
      <c r="D47" s="32" t="n"/>
      <c r="E47" s="32" t="n"/>
      <c r="F47" s="33" t="n"/>
      <c r="G47" s="33" t="n"/>
      <c r="H47" s="33" t="n"/>
    </row>
    <row r="48">
      <c r="A48" s="31" t="inlineStr">
        <is>
          <t>revenue_growth_primary_y1</t>
        </is>
      </c>
      <c r="B48" s="4" t="inlineStr">
        <is>
          <t>Revenue growth (primary, conservative) (Y1)</t>
        </is>
      </c>
      <c r="C48" s="2" t="inlineStr">
        <is>
          <t>percentage</t>
        </is>
      </c>
      <c r="D48" s="32" t="n"/>
      <c r="E48" s="32" t="n"/>
      <c r="F48" s="33" t="n"/>
      <c r="G48" s="33" t="n"/>
      <c r="H48" s="33" t="n"/>
    </row>
    <row r="49">
      <c r="A49" s="31" t="inlineStr">
        <is>
          <t>revenue_growth_primary_y2</t>
        </is>
      </c>
      <c r="B49" s="4" t="inlineStr">
        <is>
          <t>Revenue growth (primary, conservative) (Y2)</t>
        </is>
      </c>
      <c r="C49" s="2" t="inlineStr">
        <is>
          <t>percentage</t>
        </is>
      </c>
      <c r="D49" s="32" t="n"/>
      <c r="E49" s="32" t="n"/>
      <c r="F49" s="33" t="n"/>
      <c r="G49" s="33" t="n"/>
      <c r="H49" s="33" t="n"/>
    </row>
    <row r="50">
      <c r="A50" s="31" t="inlineStr">
        <is>
          <t>revenue_growth_primary_y3</t>
        </is>
      </c>
      <c r="B50" s="4" t="inlineStr">
        <is>
          <t>Revenue growth (primary, conservative) (Y3)</t>
        </is>
      </c>
      <c r="C50" s="2" t="inlineStr">
        <is>
          <t>percentage</t>
        </is>
      </c>
      <c r="D50" s="32" t="n"/>
      <c r="E50" s="32" t="n"/>
      <c r="F50" s="33" t="n"/>
      <c r="G50" s="33" t="n"/>
      <c r="H50" s="33" t="n"/>
    </row>
    <row r="51">
      <c r="A51" s="31" t="inlineStr">
        <is>
          <t>revenue_growth_primary_y4</t>
        </is>
      </c>
      <c r="B51" s="4" t="inlineStr">
        <is>
          <t>Revenue growth (primary, conservative) (Y4)</t>
        </is>
      </c>
      <c r="C51" s="2" t="inlineStr">
        <is>
          <t>percentage</t>
        </is>
      </c>
      <c r="D51" s="32" t="n"/>
      <c r="E51" s="32" t="n"/>
      <c r="F51" s="33" t="n"/>
      <c r="G51" s="33" t="n"/>
      <c r="H51" s="33" t="n"/>
    </row>
    <row r="52">
      <c r="A52" s="31" t="inlineStr">
        <is>
          <t>revenue_growth_primary_y5</t>
        </is>
      </c>
      <c r="B52" s="4" t="inlineStr">
        <is>
          <t>Revenue growth (primary, conservative) (Y5)</t>
        </is>
      </c>
      <c r="C52" s="2" t="inlineStr">
        <is>
          <t>percentage</t>
        </is>
      </c>
      <c r="D52" s="32" t="n"/>
      <c r="E52" s="32" t="n"/>
      <c r="F52" s="33" t="n"/>
      <c r="G52" s="33" t="n"/>
      <c r="H52" s="33" t="n"/>
    </row>
    <row r="53">
      <c r="A53" s="31" t="inlineStr">
        <is>
          <t>gross_margin_y1</t>
        </is>
      </c>
      <c r="B53" s="4" t="inlineStr">
        <is>
          <t>Gross margin (Y1)</t>
        </is>
      </c>
      <c r="C53" s="2" t="inlineStr">
        <is>
          <t>percentage</t>
        </is>
      </c>
      <c r="D53" s="32" t="n"/>
      <c r="E53" s="32" t="n"/>
      <c r="F53" s="33" t="n"/>
      <c r="G53" s="33" t="n"/>
      <c r="H53" s="33" t="n"/>
    </row>
    <row r="54">
      <c r="A54" s="31" t="inlineStr">
        <is>
          <t>gross_margin_y2</t>
        </is>
      </c>
      <c r="B54" s="4" t="inlineStr">
        <is>
          <t>Gross margin (Y2)</t>
        </is>
      </c>
      <c r="C54" s="2" t="inlineStr">
        <is>
          <t>percentage</t>
        </is>
      </c>
      <c r="D54" s="32" t="n"/>
      <c r="E54" s="32" t="n"/>
      <c r="F54" s="33" t="n"/>
      <c r="G54" s="33" t="n"/>
      <c r="H54" s="33" t="n"/>
    </row>
    <row r="55">
      <c r="A55" s="31" t="inlineStr">
        <is>
          <t>gross_margin_y3</t>
        </is>
      </c>
      <c r="B55" s="4" t="inlineStr">
        <is>
          <t>Gross margin (Y3)</t>
        </is>
      </c>
      <c r="C55" s="2" t="inlineStr">
        <is>
          <t>percentage</t>
        </is>
      </c>
      <c r="D55" s="32" t="n"/>
      <c r="E55" s="32" t="n"/>
      <c r="F55" s="33" t="n"/>
      <c r="G55" s="33" t="n"/>
      <c r="H55" s="33" t="n"/>
    </row>
    <row r="56">
      <c r="A56" s="31" t="inlineStr">
        <is>
          <t>gross_margin_y4</t>
        </is>
      </c>
      <c r="B56" s="4" t="inlineStr">
        <is>
          <t>Gross margin (Y4)</t>
        </is>
      </c>
      <c r="C56" s="2" t="inlineStr">
        <is>
          <t>percentage</t>
        </is>
      </c>
      <c r="D56" s="32" t="n"/>
      <c r="E56" s="32" t="n"/>
      <c r="F56" s="33" t="n"/>
      <c r="G56" s="33" t="n"/>
      <c r="H56" s="33" t="n"/>
    </row>
    <row r="57">
      <c r="A57" s="31" t="inlineStr">
        <is>
          <t>gross_margin_y5</t>
        </is>
      </c>
      <c r="B57" s="4" t="inlineStr">
        <is>
          <t>Gross margin (Y5)</t>
        </is>
      </c>
      <c r="C57" s="2" t="inlineStr">
        <is>
          <t>percentage</t>
        </is>
      </c>
      <c r="D57" s="32" t="n"/>
      <c r="E57" s="32" t="n"/>
      <c r="F57" s="33" t="n"/>
      <c r="G57" s="33" t="n"/>
      <c r="H57" s="33" t="n"/>
    </row>
    <row r="58">
      <c r="A58" s="31" t="inlineStr">
        <is>
          <t>opex_pct_revenue_y1</t>
        </is>
      </c>
      <c r="B58" s="4" t="inlineStr">
        <is>
          <t>Opex % of revenue (Y1)</t>
        </is>
      </c>
      <c r="C58" s="2" t="inlineStr">
        <is>
          <t>percentage</t>
        </is>
      </c>
      <c r="D58" s="32" t="n"/>
      <c r="E58" s="32" t="n"/>
      <c r="F58" s="33" t="n"/>
      <c r="G58" s="33" t="n"/>
      <c r="H58" s="33" t="n"/>
    </row>
    <row r="59">
      <c r="A59" s="31" t="inlineStr">
        <is>
          <t>opex_pct_revenue_y2</t>
        </is>
      </c>
      <c r="B59" s="4" t="inlineStr">
        <is>
          <t>Opex % of revenue (Y2)</t>
        </is>
      </c>
      <c r="C59" s="2" t="inlineStr">
        <is>
          <t>percentage</t>
        </is>
      </c>
      <c r="D59" s="32" t="n"/>
      <c r="E59" s="32" t="n"/>
      <c r="F59" s="33" t="n"/>
      <c r="G59" s="33" t="n"/>
      <c r="H59" s="33" t="n"/>
    </row>
    <row r="60">
      <c r="A60" s="31" t="inlineStr">
        <is>
          <t>opex_pct_revenue_y3</t>
        </is>
      </c>
      <c r="B60" s="4" t="inlineStr">
        <is>
          <t>Opex % of revenue (Y3)</t>
        </is>
      </c>
      <c r="C60" s="2" t="inlineStr">
        <is>
          <t>percentage</t>
        </is>
      </c>
      <c r="D60" s="32" t="n"/>
      <c r="E60" s="32" t="n"/>
      <c r="F60" s="33" t="n"/>
      <c r="G60" s="33" t="n"/>
      <c r="H60" s="33" t="n"/>
    </row>
    <row r="61">
      <c r="A61" s="31" t="inlineStr">
        <is>
          <t>opex_pct_revenue_y4</t>
        </is>
      </c>
      <c r="B61" s="4" t="inlineStr">
        <is>
          <t>Opex % of revenue (Y4)</t>
        </is>
      </c>
      <c r="C61" s="2" t="inlineStr">
        <is>
          <t>percentage</t>
        </is>
      </c>
      <c r="D61" s="32" t="n"/>
      <c r="E61" s="32" t="n"/>
      <c r="F61" s="33" t="n"/>
      <c r="G61" s="33" t="n"/>
      <c r="H61" s="33" t="n"/>
    </row>
    <row r="62">
      <c r="A62" s="31" t="inlineStr">
        <is>
          <t>opex_pct_revenue_y5</t>
        </is>
      </c>
      <c r="B62" s="4" t="inlineStr">
        <is>
          <t>Opex % of revenue (Y5)</t>
        </is>
      </c>
      <c r="C62" s="2" t="inlineStr">
        <is>
          <t>percentage</t>
        </is>
      </c>
      <c r="D62" s="32" t="n"/>
      <c r="E62" s="32" t="n"/>
      <c r="F62" s="33" t="n"/>
      <c r="G62" s="33" t="n"/>
      <c r="H62" s="33" t="n"/>
    </row>
    <row r="63">
      <c r="A63" s="31" t="inlineStr">
        <is>
          <t>capex_pct_revenue_y1</t>
        </is>
      </c>
      <c r="B63" s="4" t="inlineStr">
        <is>
          <t>Capex % of revenue (Y1)</t>
        </is>
      </c>
      <c r="C63" s="2" t="inlineStr">
        <is>
          <t>percentage</t>
        </is>
      </c>
      <c r="D63" s="32" t="n"/>
      <c r="E63" s="32" t="n"/>
      <c r="F63" s="33" t="n"/>
      <c r="G63" s="33" t="n"/>
      <c r="H63" s="33" t="n"/>
    </row>
    <row r="64">
      <c r="A64" s="31" t="inlineStr">
        <is>
          <t>capex_pct_revenue_y2</t>
        </is>
      </c>
      <c r="B64" s="4" t="inlineStr">
        <is>
          <t>Capex % of revenue (Y2)</t>
        </is>
      </c>
      <c r="C64" s="2" t="inlineStr">
        <is>
          <t>percentage</t>
        </is>
      </c>
      <c r="D64" s="32" t="n"/>
      <c r="E64" s="32" t="n"/>
      <c r="F64" s="33" t="n"/>
      <c r="G64" s="33" t="n"/>
      <c r="H64" s="33" t="n"/>
    </row>
    <row r="65">
      <c r="A65" s="31" t="inlineStr">
        <is>
          <t>capex_pct_revenue_y3</t>
        </is>
      </c>
      <c r="B65" s="4" t="inlineStr">
        <is>
          <t>Capex % of revenue (Y3)</t>
        </is>
      </c>
      <c r="C65" s="2" t="inlineStr">
        <is>
          <t>percentage</t>
        </is>
      </c>
      <c r="D65" s="32" t="n"/>
      <c r="E65" s="32" t="n"/>
      <c r="F65" s="33" t="n"/>
      <c r="G65" s="33" t="n"/>
      <c r="H65" s="33" t="n"/>
    </row>
    <row r="66">
      <c r="A66" s="31" t="inlineStr">
        <is>
          <t>capex_pct_revenue_y4</t>
        </is>
      </c>
      <c r="B66" s="4" t="inlineStr">
        <is>
          <t>Capex % of revenue (Y4)</t>
        </is>
      </c>
      <c r="C66" s="2" t="inlineStr">
        <is>
          <t>percentage</t>
        </is>
      </c>
      <c r="D66" s="32" t="n"/>
      <c r="E66" s="32" t="n"/>
      <c r="F66" s="33" t="n"/>
      <c r="G66" s="33" t="n"/>
      <c r="H66" s="33" t="n"/>
    </row>
    <row r="67">
      <c r="A67" s="31" t="inlineStr">
        <is>
          <t>capex_pct_revenue_y5</t>
        </is>
      </c>
      <c r="B67" s="4" t="inlineStr">
        <is>
          <t>Capex % of revenue (Y5)</t>
        </is>
      </c>
      <c r="C67" s="2" t="inlineStr">
        <is>
          <t>percentage</t>
        </is>
      </c>
      <c r="D67" s="32" t="n"/>
      <c r="E67" s="32" t="n"/>
      <c r="F67" s="33" t="n"/>
      <c r="G67" s="33" t="n"/>
      <c r="H67" s="33" t="n"/>
    </row>
    <row r="68">
      <c r="A68" s="31" t="inlineStr">
        <is>
          <t>dep_pct_revenue_y1</t>
        </is>
      </c>
      <c r="B68" s="4" t="inlineStr">
        <is>
          <t>Depreciation % of revenue (Y1)</t>
        </is>
      </c>
      <c r="C68" s="2" t="inlineStr">
        <is>
          <t>percentage</t>
        </is>
      </c>
      <c r="D68" s="32" t="n"/>
      <c r="E68" s="32" t="n"/>
      <c r="F68" s="33" t="n"/>
      <c r="G68" s="33" t="n"/>
      <c r="H68" s="33" t="n"/>
    </row>
    <row r="69">
      <c r="A69" s="31" t="inlineStr">
        <is>
          <t>dep_pct_revenue_y2</t>
        </is>
      </c>
      <c r="B69" s="4" t="inlineStr">
        <is>
          <t>Depreciation % of revenue (Y2)</t>
        </is>
      </c>
      <c r="C69" s="2" t="inlineStr">
        <is>
          <t>percentage</t>
        </is>
      </c>
      <c r="D69" s="32" t="n"/>
      <c r="E69" s="32" t="n"/>
      <c r="F69" s="33" t="n"/>
      <c r="G69" s="33" t="n"/>
      <c r="H69" s="33" t="n"/>
    </row>
    <row r="70">
      <c r="A70" s="31" t="inlineStr">
        <is>
          <t>dep_pct_revenue_y3</t>
        </is>
      </c>
      <c r="B70" s="4" t="inlineStr">
        <is>
          <t>Depreciation % of revenue (Y3)</t>
        </is>
      </c>
      <c r="C70" s="2" t="inlineStr">
        <is>
          <t>percentage</t>
        </is>
      </c>
      <c r="D70" s="32" t="n"/>
      <c r="E70" s="32" t="n"/>
      <c r="F70" s="33" t="n"/>
      <c r="G70" s="33" t="n"/>
      <c r="H70" s="33" t="n"/>
    </row>
    <row r="71">
      <c r="A71" s="31" t="inlineStr">
        <is>
          <t>dep_pct_revenue_y4</t>
        </is>
      </c>
      <c r="B71" s="4" t="inlineStr">
        <is>
          <t>Depreciation % of revenue (Y4)</t>
        </is>
      </c>
      <c r="C71" s="2" t="inlineStr">
        <is>
          <t>percentage</t>
        </is>
      </c>
      <c r="D71" s="32" t="n"/>
      <c r="E71" s="32" t="n"/>
      <c r="F71" s="33" t="n"/>
      <c r="G71" s="33" t="n"/>
      <c r="H71" s="33" t="n"/>
    </row>
    <row r="72">
      <c r="A72" s="31" t="inlineStr">
        <is>
          <t>dep_pct_revenue_y5</t>
        </is>
      </c>
      <c r="B72" s="4" t="inlineStr">
        <is>
          <t>Depreciation % of revenue (Y5)</t>
        </is>
      </c>
      <c r="C72" s="2" t="inlineStr">
        <is>
          <t>percentage</t>
        </is>
      </c>
      <c r="D72" s="32" t="n"/>
      <c r="E72" s="32" t="n"/>
      <c r="F72" s="33" t="n"/>
      <c r="G72" s="33" t="n"/>
      <c r="H72" s="33" t="n"/>
    </row>
    <row r="73">
      <c r="A73" s="31" t="inlineStr">
        <is>
          <t>nwc_pct_sales_y1</t>
        </is>
      </c>
      <c r="B73" s="4" t="inlineStr">
        <is>
          <t>Working capital % of sales (Y1)</t>
        </is>
      </c>
      <c r="C73" s="2" t="inlineStr">
        <is>
          <t>percentage</t>
        </is>
      </c>
      <c r="D73" s="32" t="n"/>
      <c r="E73" s="32" t="n"/>
      <c r="F73" s="33" t="n"/>
      <c r="G73" s="33" t="n"/>
      <c r="H73" s="33" t="n"/>
    </row>
    <row r="74">
      <c r="A74" s="31" t="inlineStr">
        <is>
          <t>nwc_pct_sales_y2</t>
        </is>
      </c>
      <c r="B74" s="4" t="inlineStr">
        <is>
          <t>Working capital % of sales (Y2)</t>
        </is>
      </c>
      <c r="C74" s="2" t="inlineStr">
        <is>
          <t>percentage</t>
        </is>
      </c>
      <c r="D74" s="32" t="n"/>
      <c r="E74" s="32" t="n"/>
      <c r="F74" s="33" t="n"/>
      <c r="G74" s="33" t="n"/>
      <c r="H74" s="33" t="n"/>
    </row>
    <row r="75">
      <c r="A75" s="31" t="inlineStr">
        <is>
          <t>nwc_pct_sales_y3</t>
        </is>
      </c>
      <c r="B75" s="4" t="inlineStr">
        <is>
          <t>Working capital % of sales (Y3)</t>
        </is>
      </c>
      <c r="C75" s="2" t="inlineStr">
        <is>
          <t>percentage</t>
        </is>
      </c>
      <c r="D75" s="32" t="n"/>
      <c r="E75" s="32" t="n"/>
      <c r="F75" s="33" t="n"/>
      <c r="G75" s="33" t="n"/>
      <c r="H75" s="33" t="n"/>
    </row>
    <row r="76">
      <c r="A76" s="31" t="inlineStr">
        <is>
          <t>nwc_pct_sales_y4</t>
        </is>
      </c>
      <c r="B76" s="4" t="inlineStr">
        <is>
          <t>Working capital % of sales (Y4)</t>
        </is>
      </c>
      <c r="C76" s="2" t="inlineStr">
        <is>
          <t>percentage</t>
        </is>
      </c>
      <c r="D76" s="32" t="n"/>
      <c r="E76" s="32" t="n"/>
      <c r="F76" s="33" t="n"/>
      <c r="G76" s="33" t="n"/>
      <c r="H76" s="33" t="n"/>
    </row>
    <row r="77">
      <c r="A77" s="31" t="inlineStr">
        <is>
          <t>nwc_pct_sales_y5</t>
        </is>
      </c>
      <c r="B77" s="4" t="inlineStr">
        <is>
          <t>Working capital % of sales (Y5)</t>
        </is>
      </c>
      <c r="C77" s="2" t="inlineStr">
        <is>
          <t>percentage</t>
        </is>
      </c>
      <c r="D77" s="32" t="n"/>
      <c r="E77" s="32" t="n"/>
      <c r="F77" s="33" t="n"/>
      <c r="G77" s="33" t="n"/>
      <c r="H77" s="33" t="n"/>
    </row>
    <row r="79" ht="18" customHeight="1">
      <c r="A79" s="3" t="inlineStr">
        <is>
          <t>Section E — Terminal value  (Core)</t>
        </is>
      </c>
    </row>
    <row r="80">
      <c r="A80" s="31" t="inlineStr">
        <is>
          <t>terminal_method</t>
        </is>
      </c>
      <c r="B80" s="4" t="inlineStr">
        <is>
          <t>Terminal value method</t>
        </is>
      </c>
      <c r="C80" s="2" t="inlineStr">
        <is>
          <t>enum</t>
        </is>
      </c>
      <c r="D80" s="32" t="n"/>
      <c r="E80" s="32" t="n"/>
      <c r="F80" s="33" t="n"/>
      <c r="G80" s="33" t="n"/>
      <c r="H80" s="34" t="inlineStr">
        <is>
          <t>gordon_growth | exit_multiple</t>
        </is>
      </c>
    </row>
    <row r="81">
      <c r="A81" s="31" t="inlineStr">
        <is>
          <t>terminal_growth_rate</t>
        </is>
      </c>
      <c r="B81" s="4" t="inlineStr">
        <is>
          <t>Terminal growth rate</t>
        </is>
      </c>
      <c r="C81" s="2" t="inlineStr">
        <is>
          <t>percentage</t>
        </is>
      </c>
      <c r="D81" s="32" t="n"/>
      <c r="E81" s="32" t="n"/>
      <c r="F81" s="33" t="n"/>
      <c r="G81" s="33" t="n"/>
      <c r="H81" s="33" t="n"/>
    </row>
    <row r="82">
      <c r="A82" s="31" t="inlineStr">
        <is>
          <t>terminal_exit_multiple_type</t>
        </is>
      </c>
      <c r="B82" s="4" t="inlineStr">
        <is>
          <t>Exit multiple metric</t>
        </is>
      </c>
      <c r="C82" s="2" t="inlineStr">
        <is>
          <t>enum</t>
        </is>
      </c>
      <c r="D82" s="32" t="n"/>
      <c r="E82" s="32" t="n"/>
      <c r="F82" s="33" t="n"/>
      <c r="G82" s="33" t="n"/>
      <c r="H82" s="33" t="n"/>
    </row>
    <row r="83">
      <c r="A83" s="31" t="inlineStr">
        <is>
          <t>terminal_exit_multiple_value</t>
        </is>
      </c>
      <c r="B83" s="4" t="inlineStr">
        <is>
          <t>Exit multiple value</t>
        </is>
      </c>
      <c r="C83" s="2" t="inlineStr">
        <is>
          <t>number</t>
        </is>
      </c>
      <c r="D83" s="32" t="n"/>
      <c r="E83" s="32" t="n"/>
      <c r="F83" s="33" t="n"/>
      <c r="G83" s="33" t="n"/>
      <c r="H83" s="33" t="n"/>
    </row>
    <row r="84">
      <c r="A84" s="31" t="inlineStr">
        <is>
          <t>terminal_nominal_gdp_growth</t>
        </is>
      </c>
      <c r="B84" s="4" t="inlineStr">
        <is>
          <t>Nominal GDP growth (reference ceiling)</t>
        </is>
      </c>
      <c r="C84" s="2" t="inlineStr">
        <is>
          <t>percentage</t>
        </is>
      </c>
      <c r="D84" s="32" t="n"/>
      <c r="E84" s="32" t="n"/>
      <c r="F84" s="33" t="n"/>
      <c r="G84" s="33" t="n"/>
      <c r="H84" s="34" t="inlineStr">
        <is>
          <t>Long-run nominal GDP of the operating jurisdiction; terminal g at/above GDP − 50bps is flagged</t>
        </is>
      </c>
    </row>
    <row r="86" ht="18" customHeight="1">
      <c r="A86" s="3" t="inlineStr">
        <is>
          <t>Section F — WACC inputs  (Core)</t>
        </is>
      </c>
    </row>
    <row r="87">
      <c r="A87" s="31" t="inlineStr">
        <is>
          <t>risk_free_rate</t>
        </is>
      </c>
      <c r="B87" s="4" t="inlineStr">
        <is>
          <t>Risk-free rate</t>
        </is>
      </c>
      <c r="C87" s="2" t="inlineStr">
        <is>
          <t>percentage</t>
        </is>
      </c>
      <c r="D87" s="32" t="n"/>
      <c r="E87" s="32" t="n"/>
      <c r="F87" s="33" t="n"/>
      <c r="G87" s="33" t="n"/>
      <c r="H87" s="33" t="n"/>
    </row>
    <row r="88">
      <c r="A88" s="31" t="inlineStr">
        <is>
          <t>risk_free_rate_source</t>
        </is>
      </c>
      <c r="B88" s="4" t="inlineStr">
        <is>
          <t>Risk-free rate source descriptor</t>
        </is>
      </c>
      <c r="C88" s="2" t="inlineStr">
        <is>
          <t>text</t>
        </is>
      </c>
      <c r="D88" s="32" t="n"/>
      <c r="E88" s="32" t="n"/>
      <c r="F88" s="33" t="n"/>
      <c r="G88" s="33" t="n"/>
      <c r="H88" s="33" t="n"/>
    </row>
    <row r="89">
      <c r="A89" s="31" t="inlineStr">
        <is>
          <t>equity_risk_premium</t>
        </is>
      </c>
      <c r="B89" s="4" t="inlineStr">
        <is>
          <t>Equity risk premium (ERP)</t>
        </is>
      </c>
      <c r="C89" s="2" t="inlineStr">
        <is>
          <t>percentage</t>
        </is>
      </c>
      <c r="D89" s="32" t="n"/>
      <c r="E89" s="32" t="n"/>
      <c r="F89" s="33" t="n"/>
      <c r="G89" s="33" t="n"/>
      <c r="H89" s="33" t="n"/>
    </row>
    <row r="90">
      <c r="A90" s="31" t="inlineStr">
        <is>
          <t>country_risk_premium</t>
        </is>
      </c>
      <c r="B90" s="4" t="inlineStr">
        <is>
          <t>Country risk premium</t>
        </is>
      </c>
      <c r="C90" s="2" t="inlineStr">
        <is>
          <t>percentage</t>
        </is>
      </c>
      <c r="D90" s="32" t="n"/>
      <c r="E90" s="32" t="n"/>
      <c r="F90" s="33" t="n"/>
      <c r="G90" s="33" t="n"/>
      <c r="H90" s="33" t="n"/>
    </row>
    <row r="91">
      <c r="A91" s="31" t="inlineStr">
        <is>
          <t>unlevered_beta</t>
        </is>
      </c>
      <c r="B91" s="4" t="inlineStr">
        <is>
          <t>Unlevered beta</t>
        </is>
      </c>
      <c r="C91" s="2" t="inlineStr">
        <is>
          <t>number</t>
        </is>
      </c>
      <c r="D91" s="32" t="n"/>
      <c r="E91" s="32" t="n"/>
      <c r="F91" s="33" t="n"/>
      <c r="G91" s="33" t="n"/>
      <c r="H91" s="33" t="n"/>
    </row>
    <row r="92">
      <c r="A92" s="31" t="inlineStr">
        <is>
          <t>target_debt_to_equity</t>
        </is>
      </c>
      <c r="B92" s="4" t="inlineStr">
        <is>
          <t>Target D/E ratio</t>
        </is>
      </c>
      <c r="C92" s="2" t="inlineStr">
        <is>
          <t>percentage</t>
        </is>
      </c>
      <c r="D92" s="32" t="n"/>
      <c r="E92" s="32" t="n"/>
      <c r="F92" s="33" t="n"/>
      <c r="G92" s="33" t="n"/>
      <c r="H92" s="33" t="n"/>
    </row>
    <row r="93">
      <c r="A93" s="31" t="inlineStr">
        <is>
          <t>levered_beta</t>
        </is>
      </c>
      <c r="B93" s="4" t="inlineStr">
        <is>
          <t>Levered beta (calculated)</t>
        </is>
      </c>
      <c r="C93" s="2" t="inlineStr">
        <is>
          <t>number</t>
        </is>
      </c>
      <c r="D93" s="35">
        <f>WACC!E10</f>
        <v/>
      </c>
      <c r="E93" s="35">
        <f>WACC!F10</f>
        <v/>
      </c>
      <c r="F93" s="33" t="n"/>
      <c r="G93" s="33" t="n"/>
      <c r="H93" s="33" t="n"/>
    </row>
    <row r="94">
      <c r="A94" s="31" t="inlineStr">
        <is>
          <t>size_premium</t>
        </is>
      </c>
      <c r="B94" s="4" t="inlineStr">
        <is>
          <t>Size premium</t>
        </is>
      </c>
      <c r="C94" s="2" t="inlineStr">
        <is>
          <t>percentage</t>
        </is>
      </c>
      <c r="D94" s="32" t="n"/>
      <c r="E94" s="32" t="n"/>
      <c r="F94" s="33" t="n"/>
      <c r="G94" s="33" t="n"/>
      <c r="H94" s="33" t="n"/>
    </row>
    <row r="95">
      <c r="A95" s="31" t="inlineStr">
        <is>
          <t>specific_risk_premium</t>
        </is>
      </c>
      <c r="B95" s="4" t="inlineStr">
        <is>
          <t>Specific risk premium</t>
        </is>
      </c>
      <c r="C95" s="2" t="inlineStr">
        <is>
          <t>percentage</t>
        </is>
      </c>
      <c r="D95" s="32" t="n"/>
      <c r="E95" s="32" t="n"/>
      <c r="F95" s="33" t="n"/>
      <c r="G95" s="33" t="n"/>
      <c r="H95" s="33" t="n"/>
    </row>
    <row r="96">
      <c r="A96" s="31" t="inlineStr">
        <is>
          <t>cost_of_equity</t>
        </is>
      </c>
      <c r="B96" s="4" t="inlineStr">
        <is>
          <t>Cost of equity (calculated)</t>
        </is>
      </c>
      <c r="C96" s="2" t="inlineStr">
        <is>
          <t>percentage</t>
        </is>
      </c>
      <c r="D96" s="36">
        <f>WACC!E16</f>
        <v/>
      </c>
      <c r="E96" s="36">
        <f>WACC!F16</f>
        <v/>
      </c>
      <c r="F96" s="33" t="n"/>
      <c r="G96" s="33" t="n"/>
      <c r="H96" s="33" t="n"/>
    </row>
    <row r="97">
      <c r="A97" s="31" t="inlineStr">
        <is>
          <t>pretax_cost_of_debt</t>
        </is>
      </c>
      <c r="B97" s="4" t="inlineStr">
        <is>
          <t>Pre-tax cost of debt</t>
        </is>
      </c>
      <c r="C97" s="2" t="inlineStr">
        <is>
          <t>percentage</t>
        </is>
      </c>
      <c r="D97" s="32" t="n"/>
      <c r="E97" s="32" t="n"/>
      <c r="F97" s="33" t="n"/>
      <c r="G97" s="33" t="n"/>
      <c r="H97" s="33" t="n"/>
    </row>
    <row r="98">
      <c r="A98" s="31" t="inlineStr">
        <is>
          <t>aftertax_cost_of_debt</t>
        </is>
      </c>
      <c r="B98" s="4" t="inlineStr">
        <is>
          <t>After-tax cost of debt (calculated)</t>
        </is>
      </c>
      <c r="C98" s="2" t="inlineStr">
        <is>
          <t>percentage</t>
        </is>
      </c>
      <c r="D98" s="36">
        <f>WACC!E20</f>
        <v/>
      </c>
      <c r="E98" s="36">
        <f>WACC!F20</f>
        <v/>
      </c>
      <c r="F98" s="33" t="n"/>
      <c r="G98" s="33" t="n"/>
      <c r="H98" s="33" t="n"/>
    </row>
    <row r="99">
      <c r="A99" s="31" t="inlineStr">
        <is>
          <t>target_debt_weight</t>
        </is>
      </c>
      <c r="B99" s="4" t="inlineStr">
        <is>
          <t>D/V (debt weight)</t>
        </is>
      </c>
      <c r="C99" s="2" t="inlineStr">
        <is>
          <t>percentage</t>
        </is>
      </c>
      <c r="D99" s="32" t="n"/>
      <c r="E99" s="32" t="n"/>
      <c r="F99" s="33" t="n"/>
      <c r="G99" s="33" t="n"/>
      <c r="H99" s="33" t="n"/>
    </row>
    <row r="100">
      <c r="A100" s="31" t="inlineStr">
        <is>
          <t>target_equity_weight</t>
        </is>
      </c>
      <c r="B100" s="4" t="inlineStr">
        <is>
          <t>E/V (equity weight)</t>
        </is>
      </c>
      <c r="C100" s="2" t="inlineStr">
        <is>
          <t>percentage</t>
        </is>
      </c>
      <c r="D100" s="32" t="n"/>
      <c r="E100" s="32" t="n"/>
      <c r="F100" s="33" t="n"/>
      <c r="G100" s="33" t="n"/>
      <c r="H100" s="33" t="n"/>
    </row>
    <row r="101">
      <c r="A101" s="31" t="inlineStr">
        <is>
          <t>wacc</t>
        </is>
      </c>
      <c r="B101" s="4" t="inlineStr">
        <is>
          <t>WACC (calculated)</t>
        </is>
      </c>
      <c r="C101" s="2" t="inlineStr">
        <is>
          <t>percentage</t>
        </is>
      </c>
      <c r="D101" s="36">
        <f>WACC!E25</f>
        <v/>
      </c>
      <c r="E101" s="36">
        <f>WACC!F25</f>
        <v/>
      </c>
      <c r="F101" s="33" t="n"/>
      <c r="G101" s="33" t="n"/>
      <c r="H101" s="33" t="n"/>
    </row>
    <row r="103" ht="18" customHeight="1">
      <c r="A103" s="3" t="inlineStr">
        <is>
          <t>Section I — EV -&gt; Equity bridge  (Core)</t>
        </is>
      </c>
    </row>
    <row r="104">
      <c r="A104" s="31" t="inlineStr">
        <is>
          <t>surplus_assets</t>
        </is>
      </c>
      <c r="B104" s="4" t="inlineStr">
        <is>
          <t>Surplus / non-operating assets</t>
        </is>
      </c>
      <c r="C104" s="2" t="inlineStr">
        <is>
          <t>currency</t>
        </is>
      </c>
      <c r="D104" s="32" t="n"/>
      <c r="E104" s="32" t="n"/>
      <c r="F104" s="33" t="n"/>
      <c r="G104" s="33" t="n"/>
      <c r="H104" s="33" t="n"/>
    </row>
    <row r="105">
      <c r="A105" s="31" t="inlineStr">
        <is>
          <t>net_debt_override</t>
        </is>
      </c>
      <c r="B105" s="4" t="inlineStr">
        <is>
          <t>Net debt (override)</t>
        </is>
      </c>
      <c r="C105" s="2" t="inlineStr">
        <is>
          <t>currency</t>
        </is>
      </c>
      <c r="D105" s="32" t="n"/>
      <c r="E105" s="32" t="n"/>
      <c r="F105" s="33" t="n"/>
      <c r="G105" s="33" t="n"/>
      <c r="H105" s="33" t="n"/>
    </row>
    <row r="106">
      <c r="A106" s="31" t="inlineStr">
        <is>
          <t>minority_interests</t>
        </is>
      </c>
      <c r="B106" s="4" t="inlineStr">
        <is>
          <t>Minority interests</t>
        </is>
      </c>
      <c r="C106" s="2" t="inlineStr">
        <is>
          <t>currency</t>
        </is>
      </c>
      <c r="D106" s="32" t="n"/>
      <c r="E106" s="32" t="n"/>
      <c r="F106" s="33" t="n"/>
      <c r="G106" s="33" t="n"/>
      <c r="H106" s="33" t="n"/>
    </row>
    <row r="107">
      <c r="A107" s="31" t="inlineStr">
        <is>
          <t>non_operating_assets</t>
        </is>
      </c>
      <c r="B107" s="4" t="inlineStr">
        <is>
          <t>Non-operating assets</t>
        </is>
      </c>
      <c r="C107" s="2" t="inlineStr">
        <is>
          <t>currency</t>
        </is>
      </c>
      <c r="D107" s="32" t="n"/>
      <c r="E107" s="32" t="n"/>
      <c r="F107" s="33" t="n"/>
      <c r="G107" s="33" t="n"/>
      <c r="H107" s="33" t="n"/>
    </row>
    <row r="108">
      <c r="A108" s="31" t="inlineStr">
        <is>
          <t>dlom_pct</t>
        </is>
      </c>
      <c r="B108" s="4" t="inlineStr">
        <is>
          <t>DLOM rate</t>
        </is>
      </c>
      <c r="C108" s="2" t="inlineStr">
        <is>
          <t>percentage</t>
        </is>
      </c>
      <c r="D108" s="32" t="n"/>
      <c r="E108" s="32" t="n"/>
      <c r="F108" s="33" t="n"/>
      <c r="G108" s="33" t="n"/>
      <c r="H108" s="33" t="n"/>
    </row>
    <row r="109">
      <c r="A109" s="31" t="inlineStr">
        <is>
          <t>dloc_pct</t>
        </is>
      </c>
      <c r="B109" s="4" t="inlineStr">
        <is>
          <t>DLOC rate</t>
        </is>
      </c>
      <c r="C109" s="2" t="inlineStr">
        <is>
          <t>percentage</t>
        </is>
      </c>
      <c r="D109" s="32" t="n"/>
      <c r="E109" s="32" t="n"/>
      <c r="F109" s="33" t="n"/>
      <c r="G109" s="33" t="n"/>
      <c r="H109" s="33" t="n"/>
    </row>
    <row r="110">
      <c r="A110" s="31" t="inlineStr">
        <is>
          <t>equity_interest_pct</t>
        </is>
      </c>
      <c r="B110" s="4" t="inlineStr">
        <is>
          <t>Client's % equity interest</t>
        </is>
      </c>
      <c r="C110" s="2" t="inlineStr">
        <is>
          <t>percentage</t>
        </is>
      </c>
      <c r="D110" s="32" t="n"/>
      <c r="E110" s="32" t="n"/>
      <c r="F110" s="33" t="n"/>
      <c r="G110" s="33" t="n"/>
      <c r="H110" s="33" t="n"/>
    </row>
    <row r="111">
      <c r="A111" s="31" t="inlineStr">
        <is>
          <t>shares_outstanding</t>
        </is>
      </c>
      <c r="B111" s="4" t="inlineStr">
        <is>
          <t>Shares outstanding (basic)</t>
        </is>
      </c>
      <c r="C111" s="2" t="inlineStr">
        <is>
          <t>number</t>
        </is>
      </c>
      <c r="D111" s="32" t="n"/>
      <c r="E111" s="32" t="n"/>
      <c r="F111" s="33" t="n"/>
      <c r="G111" s="33" t="n"/>
      <c r="H111" s="33" t="n"/>
    </row>
    <row r="112">
      <c r="A112" s="31" t="inlineStr">
        <is>
          <t>shares_outstanding_diluted</t>
        </is>
      </c>
      <c r="B112" s="4" t="inlineStr">
        <is>
          <t>Shares outstanding (diluted)</t>
        </is>
      </c>
      <c r="C112" s="2" t="inlineStr">
        <is>
          <t>number</t>
        </is>
      </c>
      <c r="D112" s="32" t="n"/>
      <c r="E112" s="32" t="n"/>
      <c r="F112" s="33" t="n"/>
      <c r="G112" s="33" t="n"/>
      <c r="H112" s="33" t="n"/>
    </row>
    <row r="113">
      <c r="A113" s="31" t="inlineStr">
        <is>
          <t>pre_money_pct</t>
        </is>
      </c>
      <c r="B113" s="4" t="inlineStr">
        <is>
          <t>Pre-money equity %</t>
        </is>
      </c>
      <c r="C113" s="2" t="inlineStr">
        <is>
          <t>percentage</t>
        </is>
      </c>
      <c r="D113" s="32" t="n"/>
      <c r="E113" s="32" t="n"/>
      <c r="F113" s="33" t="n"/>
      <c r="G113" s="33" t="n"/>
      <c r="H113" s="33" t="n"/>
    </row>
    <row r="115" ht="18" customHeight="1">
      <c r="A115" s="37" t="inlineStr">
        <is>
          <t>Section J — Adjustment toggles  (Extended)</t>
        </is>
      </c>
    </row>
    <row r="116">
      <c r="A116" s="31" t="inlineStr">
        <is>
          <t>capitalize_rd</t>
        </is>
      </c>
      <c r="B116" s="4" t="inlineStr">
        <is>
          <t>Capitalize R&amp;D?</t>
        </is>
      </c>
      <c r="C116" s="2" t="inlineStr">
        <is>
          <t>boolean</t>
        </is>
      </c>
      <c r="D116" s="32" t="n"/>
      <c r="E116" s="32" t="n"/>
      <c r="F116" s="33" t="n"/>
      <c r="G116" s="33" t="n"/>
      <c r="H116" s="33" t="n"/>
    </row>
    <row r="117">
      <c r="A117" s="31" t="inlineStr">
        <is>
          <t>rd_amortization_years</t>
        </is>
      </c>
      <c r="B117" s="4" t="inlineStr">
        <is>
          <t>R&amp;D amortization period (years)</t>
        </is>
      </c>
      <c r="C117" s="2" t="inlineStr">
        <is>
          <t>number</t>
        </is>
      </c>
      <c r="D117" s="32" t="n"/>
      <c r="E117" s="32" t="n"/>
      <c r="F117" s="33" t="n"/>
      <c r="G117" s="33" t="n"/>
      <c r="H117" s="33" t="n"/>
    </row>
    <row r="118">
      <c r="A118" s="31" t="inlineStr">
        <is>
          <t>convert_operating_leases</t>
        </is>
      </c>
      <c r="B118" s="4" t="inlineStr">
        <is>
          <t>Convert operating leases to debt?</t>
        </is>
      </c>
      <c r="C118" s="2" t="inlineStr">
        <is>
          <t>boolean</t>
        </is>
      </c>
      <c r="D118" s="32" t="n"/>
      <c r="E118" s="32" t="n"/>
      <c r="F118" s="33" t="n"/>
      <c r="G118" s="33" t="n"/>
      <c r="H118" s="33" t="n"/>
    </row>
    <row r="119">
      <c r="A119" s="31" t="inlineStr">
        <is>
          <t>lease_discount_rate</t>
        </is>
      </c>
      <c r="B119" s="4" t="inlineStr">
        <is>
          <t>Lease discount rate</t>
        </is>
      </c>
      <c r="C119" s="2" t="inlineStr">
        <is>
          <t>percentage</t>
        </is>
      </c>
      <c r="D119" s="32" t="n"/>
      <c r="E119" s="32" t="n"/>
      <c r="F119" s="33" t="n"/>
      <c r="G119" s="33" t="n"/>
      <c r="H119" s="33" t="n"/>
    </row>
    <row r="121" ht="18" customHeight="1">
      <c r="A121" s="37" t="inlineStr">
        <is>
          <t>Section K — Football field weights  (Extended)</t>
        </is>
      </c>
    </row>
    <row r="122">
      <c r="A122" s="31" t="inlineStr">
        <is>
          <t>weight_dcf</t>
        </is>
      </c>
      <c r="B122" s="4" t="inlineStr">
        <is>
          <t>DCF weight</t>
        </is>
      </c>
      <c r="C122" s="2" t="inlineStr">
        <is>
          <t>percentage</t>
        </is>
      </c>
      <c r="D122" s="32" t="n"/>
      <c r="E122" s="32" t="n"/>
      <c r="F122" s="33" t="n"/>
      <c r="G122" s="33" t="n"/>
      <c r="H122" s="33" t="n"/>
    </row>
    <row r="123">
      <c r="A123" s="31" t="inlineStr">
        <is>
          <t>weight_comps</t>
        </is>
      </c>
      <c r="B123" s="4" t="inlineStr">
        <is>
          <t>Comparable companies weight</t>
        </is>
      </c>
      <c r="C123" s="2" t="inlineStr">
        <is>
          <t>percentage</t>
        </is>
      </c>
      <c r="D123" s="32" t="n"/>
      <c r="E123" s="32" t="n"/>
      <c r="F123" s="33" t="n"/>
      <c r="G123" s="33" t="n"/>
      <c r="H123" s="33" t="n"/>
    </row>
    <row r="124">
      <c r="A124" s="31" t="inlineStr">
        <is>
          <t>weight_precedent</t>
        </is>
      </c>
      <c r="B124" s="4" t="inlineStr">
        <is>
          <t>Precedent transactions weight</t>
        </is>
      </c>
      <c r="C124" s="2" t="inlineStr">
        <is>
          <t>percentage</t>
        </is>
      </c>
      <c r="D124" s="32" t="n"/>
      <c r="E124" s="32" t="n"/>
      <c r="F124" s="33" t="n"/>
      <c r="G124" s="33" t="n"/>
      <c r="H124" s="33" t="n"/>
    </row>
    <row r="125">
      <c r="A125" s="31" t="inlineStr">
        <is>
          <t>weight_nav</t>
        </is>
      </c>
      <c r="B125" s="4" t="inlineStr">
        <is>
          <t>NAV / asset-based weight</t>
        </is>
      </c>
      <c r="C125" s="2" t="inlineStr">
        <is>
          <t>percentage</t>
        </is>
      </c>
      <c r="D125" s="32" t="n"/>
      <c r="E125" s="32" t="n"/>
      <c r="F125" s="33" t="n"/>
      <c r="G125" s="33" t="n"/>
      <c r="H125" s="33" t="n"/>
    </row>
    <row r="126">
      <c r="A126" s="31" t="inlineStr">
        <is>
          <t>selected_low</t>
        </is>
      </c>
      <c r="B126" s="4" t="inlineStr">
        <is>
          <t>Selected valuation low</t>
        </is>
      </c>
      <c r="C126" s="2" t="inlineStr">
        <is>
          <t>currency</t>
        </is>
      </c>
      <c r="D126" s="32" t="n"/>
      <c r="E126" s="32" t="n"/>
      <c r="F126" s="33" t="n"/>
      <c r="G126" s="33" t="n"/>
      <c r="H126" s="33" t="n"/>
    </row>
    <row r="127">
      <c r="A127" s="31" t="inlineStr">
        <is>
          <t>selected_mid</t>
        </is>
      </c>
      <c r="B127" s="4" t="inlineStr">
        <is>
          <t>Selected valuation mid</t>
        </is>
      </c>
      <c r="C127" s="2" t="inlineStr">
        <is>
          <t>currency</t>
        </is>
      </c>
      <c r="D127" s="32" t="n"/>
      <c r="E127" s="32" t="n"/>
      <c r="F127" s="33" t="n"/>
      <c r="G127" s="33" t="n"/>
      <c r="H127" s="33" t="n"/>
    </row>
    <row r="128">
      <c r="A128" s="31" t="inlineStr">
        <is>
          <t>selected_high</t>
        </is>
      </c>
      <c r="B128" s="4" t="inlineStr">
        <is>
          <t>Selected valuation high</t>
        </is>
      </c>
      <c r="C128" s="2" t="inlineStr">
        <is>
          <t>currency</t>
        </is>
      </c>
      <c r="D128" s="32" t="n"/>
      <c r="E128" s="32" t="n"/>
      <c r="F128" s="33" t="n"/>
      <c r="G128" s="33" t="n"/>
      <c r="H128" s="33" t="n"/>
    </row>
    <row r="130" ht="18" customHeight="1">
      <c r="A130" s="37" t="inlineStr">
        <is>
          <t>Section L — Sensitivity ranges  (Extended)</t>
        </is>
      </c>
    </row>
    <row r="131">
      <c r="A131" s="31" t="inlineStr">
        <is>
          <t>sens_wacc_step</t>
        </is>
      </c>
      <c r="B131" s="4" t="inlineStr">
        <is>
          <t>WACC sensitivity step</t>
        </is>
      </c>
      <c r="C131" s="2" t="inlineStr">
        <is>
          <t>percentage</t>
        </is>
      </c>
      <c r="D131" s="32" t="n"/>
      <c r="E131" s="32" t="n"/>
      <c r="F131" s="33" t="n"/>
      <c r="G131" s="33" t="n"/>
      <c r="H131" s="33" t="n"/>
    </row>
    <row r="132">
      <c r="A132" s="31" t="inlineStr">
        <is>
          <t>sens_wacc_count</t>
        </is>
      </c>
      <c r="B132" s="4" t="inlineStr">
        <is>
          <t>WACC steps each side of base</t>
        </is>
      </c>
      <c r="C132" s="2" t="inlineStr">
        <is>
          <t>number</t>
        </is>
      </c>
      <c r="D132" s="32" t="n"/>
      <c r="E132" s="32" t="n"/>
      <c r="F132" s="33" t="n"/>
      <c r="G132" s="33" t="n"/>
      <c r="H132" s="33" t="n"/>
    </row>
    <row r="133">
      <c r="A133" s="31" t="inlineStr">
        <is>
          <t>sens_terminal_g_step</t>
        </is>
      </c>
      <c r="B133" s="4" t="inlineStr">
        <is>
          <t>Terminal g sensitivity step</t>
        </is>
      </c>
      <c r="C133" s="2" t="inlineStr">
        <is>
          <t>percentage</t>
        </is>
      </c>
      <c r="D133" s="32" t="n"/>
      <c r="E133" s="32" t="n"/>
      <c r="F133" s="33" t="n"/>
      <c r="G133" s="33" t="n"/>
      <c r="H133" s="33" t="n"/>
    </row>
    <row r="134">
      <c r="A134" s="31" t="inlineStr">
        <is>
          <t>sens_terminal_g_count</t>
        </is>
      </c>
      <c r="B134" s="4" t="inlineStr">
        <is>
          <t>Terminal g steps each side</t>
        </is>
      </c>
      <c r="C134" s="2" t="inlineStr">
        <is>
          <t>number</t>
        </is>
      </c>
      <c r="D134" s="32" t="n"/>
      <c r="E134" s="32" t="n"/>
      <c r="F134" s="33" t="n"/>
      <c r="G134" s="33" t="n"/>
      <c r="H134" s="33" t="n"/>
    </row>
    <row r="135">
      <c r="A135" s="31" t="inlineStr">
        <is>
          <t>sens_revenue_g_step</t>
        </is>
      </c>
      <c r="B135" s="4" t="inlineStr">
        <is>
          <t>Revenue growth sens step</t>
        </is>
      </c>
      <c r="C135" s="2" t="inlineStr">
        <is>
          <t>percentage</t>
        </is>
      </c>
      <c r="D135" s="32" t="n"/>
      <c r="E135" s="32" t="n"/>
      <c r="F135" s="33" t="n"/>
      <c r="G135" s="33" t="n"/>
      <c r="H135" s="33" t="n"/>
    </row>
    <row r="136">
      <c r="A136" s="31" t="inlineStr">
        <is>
          <t>sens_ebitda_margin_step</t>
        </is>
      </c>
      <c r="B136" s="4" t="inlineStr">
        <is>
          <t>EBITDA margin sens step</t>
        </is>
      </c>
      <c r="C136" s="2" t="inlineStr">
        <is>
          <t>percentage</t>
        </is>
      </c>
      <c r="D136" s="32" t="n"/>
      <c r="E136" s="32" t="n"/>
      <c r="F136" s="33" t="n"/>
      <c r="G136" s="33" t="n"/>
      <c r="H136" s="33" t="n"/>
    </row>
    <row r="138">
      <c r="A138" s="3" t="inlineStr">
        <is>
          <t>Section G — Comparable companies table  (Core)</t>
        </is>
      </c>
    </row>
    <row r="139">
      <c r="A139" s="21" t="inlineStr">
        <is>
          <t>Tier</t>
        </is>
      </c>
      <c r="B139" s="21" t="inlineStr">
        <is>
          <t>Include</t>
        </is>
      </c>
      <c r="C139" s="21" t="inlineStr">
        <is>
          <t>Company</t>
        </is>
      </c>
      <c r="D139" s="21" t="inlineStr">
        <is>
          <t>Ticker</t>
        </is>
      </c>
      <c r="E139" s="21" t="inlineStr">
        <is>
          <t>Business description</t>
        </is>
      </c>
      <c r="F139" s="21" t="inlineStr">
        <is>
          <t>Country</t>
        </is>
      </c>
      <c r="G139" s="21" t="inlineStr">
        <is>
          <t>Accounting standard</t>
        </is>
      </c>
      <c r="H139" s="21" t="inlineStr">
        <is>
          <t>Market cap (USD mm)</t>
        </is>
      </c>
      <c r="I139" s="21" t="inlineStr">
        <is>
          <t>D/E ratio</t>
        </is>
      </c>
      <c r="J139" s="21" t="inlineStr">
        <is>
          <t>Raw levered beta</t>
        </is>
      </c>
      <c r="K139" s="21" t="inlineStr">
        <is>
          <t>Effective tax rate</t>
        </is>
      </c>
      <c r="L139" s="21" t="inlineStr">
        <is>
          <t>Unlevered beta (calculated)</t>
        </is>
      </c>
    </row>
    <row r="140">
      <c r="A140" s="33" t="n"/>
      <c r="B140" s="33" t="n"/>
      <c r="C140" s="33" t="n"/>
      <c r="D140" s="33" t="n"/>
      <c r="E140" s="33" t="n"/>
      <c r="F140" s="33" t="n"/>
      <c r="G140" s="33" t="n"/>
      <c r="H140" s="33" t="n"/>
      <c r="I140" s="33" t="n"/>
      <c r="J140" s="33" t="n"/>
      <c r="K140" s="33" t="n"/>
      <c r="L140" s="33" t="n"/>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59">
      <c r="A159" s="33" t="n"/>
      <c r="B159" s="33" t="n"/>
      <c r="C159" s="33" t="n"/>
      <c r="D159" s="33" t="n"/>
      <c r="E159" s="33" t="n"/>
      <c r="F159" s="33" t="n"/>
      <c r="G159" s="33" t="n"/>
      <c r="H159" s="33" t="n"/>
      <c r="I159" s="33" t="n"/>
      <c r="J159" s="33" t="n"/>
      <c r="K159" s="33" t="n"/>
      <c r="L159" s="33" t="n"/>
    </row>
    <row r="160">
      <c r="A160" s="33" t="n"/>
      <c r="B160" s="33" t="n"/>
      <c r="C160" s="33" t="n"/>
      <c r="D160" s="33" t="n"/>
      <c r="E160" s="33" t="n"/>
      <c r="F160" s="33" t="n"/>
      <c r="G160" s="33" t="n"/>
      <c r="H160" s="33" t="n"/>
      <c r="I160" s="33" t="n"/>
      <c r="J160" s="33" t="n"/>
      <c r="K160" s="33" t="n"/>
      <c r="L160" s="33" t="n"/>
    </row>
    <row r="161">
      <c r="A161" s="33" t="n"/>
      <c r="B161" s="33" t="n"/>
      <c r="C161" s="33" t="n"/>
      <c r="D161" s="33" t="n"/>
      <c r="E161" s="33" t="n"/>
      <c r="F161" s="33" t="n"/>
      <c r="G161" s="33" t="n"/>
      <c r="H161" s="33" t="n"/>
      <c r="I161" s="33" t="n"/>
      <c r="J161" s="33" t="n"/>
      <c r="K161" s="33" t="n"/>
      <c r="L161" s="33" t="n"/>
    </row>
    <row r="162">
      <c r="A162" s="33" t="n"/>
      <c r="B162" s="33" t="n"/>
      <c r="C162" s="33" t="n"/>
      <c r="D162" s="33" t="n"/>
      <c r="E162" s="33" t="n"/>
      <c r="F162" s="33" t="n"/>
      <c r="G162" s="33" t="n"/>
      <c r="H162" s="33" t="n"/>
      <c r="I162" s="33" t="n"/>
      <c r="J162" s="33" t="n"/>
      <c r="K162" s="33" t="n"/>
      <c r="L162" s="33" t="n"/>
    </row>
    <row r="163">
      <c r="A163" s="33" t="n"/>
      <c r="B163" s="33" t="n"/>
      <c r="C163" s="33" t="n"/>
      <c r="D163" s="33" t="n"/>
      <c r="E163" s="33" t="n"/>
      <c r="F163" s="33" t="n"/>
      <c r="G163" s="33" t="n"/>
      <c r="H163" s="33" t="n"/>
      <c r="I163" s="33" t="n"/>
      <c r="J163" s="33" t="n"/>
      <c r="K163" s="33" t="n"/>
      <c r="L163" s="33" t="n"/>
    </row>
    <row r="164">
      <c r="A164" s="33" t="n"/>
      <c r="B164" s="33" t="n"/>
      <c r="C164" s="33" t="n"/>
      <c r="D164" s="33" t="n"/>
      <c r="E164" s="33" t="n"/>
      <c r="F164" s="33" t="n"/>
      <c r="G164" s="33" t="n"/>
      <c r="H164" s="33" t="n"/>
      <c r="I164" s="33" t="n"/>
      <c r="J164" s="33" t="n"/>
      <c r="K164" s="33" t="n"/>
      <c r="L164" s="33" t="n"/>
    </row>
    <row r="165">
      <c r="A165" s="33" t="n"/>
      <c r="B165" s="33" t="n"/>
      <c r="C165" s="33" t="n"/>
      <c r="D165" s="33" t="n"/>
      <c r="E165" s="33" t="n"/>
      <c r="F165" s="33" t="n"/>
      <c r="G165" s="33" t="n"/>
      <c r="H165" s="33" t="n"/>
      <c r="I165" s="33" t="n"/>
      <c r="J165" s="33" t="n"/>
      <c r="K165" s="33" t="n"/>
      <c r="L165" s="33" t="n"/>
    </row>
    <row r="166">
      <c r="A166" s="33" t="n"/>
      <c r="B166" s="33" t="n"/>
      <c r="C166" s="33" t="n"/>
      <c r="D166" s="33" t="n"/>
      <c r="E166" s="33" t="n"/>
      <c r="F166" s="33" t="n"/>
      <c r="G166" s="33" t="n"/>
      <c r="H166" s="33" t="n"/>
      <c r="I166" s="33" t="n"/>
      <c r="J166" s="33" t="n"/>
      <c r="K166" s="33" t="n"/>
      <c r="L166" s="33" t="n"/>
    </row>
    <row r="167">
      <c r="A167" s="33" t="n"/>
      <c r="B167" s="33" t="n"/>
      <c r="C167" s="33" t="n"/>
      <c r="D167" s="33" t="n"/>
      <c r="E167" s="33" t="n"/>
      <c r="F167" s="33" t="n"/>
      <c r="G167" s="33" t="n"/>
      <c r="H167" s="33" t="n"/>
      <c r="I167" s="33" t="n"/>
      <c r="J167" s="33" t="n"/>
      <c r="K167" s="33" t="n"/>
      <c r="L167" s="33" t="n"/>
    </row>
    <row r="168">
      <c r="A168" s="33" t="n"/>
      <c r="B168" s="33" t="n"/>
      <c r="C168" s="33" t="n"/>
      <c r="D168" s="33" t="n"/>
      <c r="E168" s="33" t="n"/>
      <c r="F168" s="33" t="n"/>
      <c r="G168" s="33" t="n"/>
      <c r="H168" s="33" t="n"/>
      <c r="I168" s="33" t="n"/>
      <c r="J168" s="33" t="n"/>
      <c r="K168" s="33" t="n"/>
      <c r="L168" s="33" t="n"/>
    </row>
    <row r="169">
      <c r="A169" s="33" t="n"/>
      <c r="B169" s="33" t="n"/>
      <c r="C169" s="33" t="n"/>
      <c r="D169" s="33" t="n"/>
      <c r="E169" s="33" t="n"/>
      <c r="F169" s="33" t="n"/>
      <c r="G169" s="33" t="n"/>
      <c r="H169" s="33" t="n"/>
      <c r="I169" s="33" t="n"/>
      <c r="J169" s="33" t="n"/>
      <c r="K169" s="33" t="n"/>
      <c r="L169" s="33" t="n"/>
    </row>
    <row r="171">
      <c r="A171" s="37" t="inlineStr">
        <is>
          <t>Section H — Precedent transactions  (Extended)</t>
        </is>
      </c>
    </row>
    <row r="172">
      <c r="A172" s="21" t="inlineStr">
        <is>
          <t>Include</t>
        </is>
      </c>
      <c r="B172" s="21" t="inlineStr">
        <is>
          <t>Date</t>
        </is>
      </c>
      <c r="C172" s="21" t="inlineStr">
        <is>
          <t>Acquirer</t>
        </is>
      </c>
      <c r="D172" s="21" t="inlineStr">
        <is>
          <t>Target</t>
        </is>
      </c>
      <c r="E172" s="21" t="inlineStr">
        <is>
          <t>EV (USD mm)</t>
        </is>
      </c>
      <c r="F172" s="21" t="inlineStr">
        <is>
          <t>EV/Revenue</t>
        </is>
      </c>
      <c r="G172" s="21" t="inlineStr">
        <is>
          <t>EV/EBITDA</t>
        </is>
      </c>
      <c r="H172" s="21" t="inlineStr">
        <is>
          <t>Premium paid</t>
        </is>
      </c>
      <c r="I172" s="21" t="inlineStr">
        <is>
          <t>Strategic rationale</t>
        </is>
      </c>
    </row>
    <row r="173">
      <c r="A173" s="33" t="n"/>
      <c r="B173" s="33" t="n"/>
      <c r="C173" s="33" t="n"/>
      <c r="D173" s="33" t="n"/>
      <c r="E173" s="33" t="n"/>
      <c r="F173" s="33" t="n"/>
      <c r="G173" s="33" t="n"/>
      <c r="H173" s="33" t="n"/>
      <c r="I173" s="33" t="n"/>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7">
      <c r="A177" s="33" t="n"/>
      <c r="B177" s="33" t="n"/>
      <c r="C177" s="33" t="n"/>
      <c r="D177" s="33" t="n"/>
      <c r="E177" s="33" t="n"/>
      <c r="F177" s="33" t="n"/>
      <c r="G177" s="33" t="n"/>
      <c r="H177" s="33" t="n"/>
      <c r="I177" s="33" t="n"/>
    </row>
    <row r="178">
      <c r="A178" s="33" t="n"/>
      <c r="B178" s="33" t="n"/>
      <c r="C178" s="33" t="n"/>
      <c r="D178" s="33" t="n"/>
      <c r="E178" s="33" t="n"/>
      <c r="F178" s="33" t="n"/>
      <c r="G178" s="33" t="n"/>
      <c r="H178" s="33" t="n"/>
      <c r="I178" s="33" t="n"/>
    </row>
    <row r="179">
      <c r="A179" s="33" t="n"/>
      <c r="B179" s="33" t="n"/>
      <c r="C179" s="33" t="n"/>
      <c r="D179" s="33" t="n"/>
      <c r="E179" s="33" t="n"/>
      <c r="F179" s="33" t="n"/>
      <c r="G179" s="33" t="n"/>
      <c r="H179" s="33" t="n"/>
      <c r="I179" s="33" t="n"/>
    </row>
    <row r="180">
      <c r="A180" s="33" t="n"/>
      <c r="B180" s="33" t="n"/>
      <c r="C180" s="33" t="n"/>
      <c r="D180" s="33" t="n"/>
      <c r="E180" s="33" t="n"/>
      <c r="F180" s="33" t="n"/>
      <c r="G180" s="33" t="n"/>
      <c r="H180" s="33" t="n"/>
      <c r="I180" s="33" t="n"/>
    </row>
    <row r="181">
      <c r="A181" s="33" t="n"/>
      <c r="B181" s="33" t="n"/>
      <c r="C181" s="33" t="n"/>
      <c r="D181" s="33" t="n"/>
      <c r="E181" s="33" t="n"/>
      <c r="F181" s="33" t="n"/>
      <c r="G181" s="33" t="n"/>
      <c r="H181" s="33" t="n"/>
      <c r="I181" s="33" t="n"/>
    </row>
    <row r="182">
      <c r="A182" s="33" t="n"/>
      <c r="B182" s="33" t="n"/>
      <c r="C182" s="33" t="n"/>
      <c r="D182" s="33" t="n"/>
      <c r="E182" s="33" t="n"/>
      <c r="F182" s="33" t="n"/>
      <c r="G182" s="33" t="n"/>
      <c r="H182" s="33" t="n"/>
      <c r="I182" s="33" t="n"/>
    </row>
    <row r="183">
      <c r="A183" s="33" t="n"/>
      <c r="B183" s="33" t="n"/>
      <c r="C183" s="33" t="n"/>
      <c r="D183" s="33" t="n"/>
      <c r="E183" s="33" t="n"/>
      <c r="F183" s="33" t="n"/>
      <c r="G183" s="33" t="n"/>
      <c r="H183" s="33" t="n"/>
      <c r="I183" s="33" t="n"/>
    </row>
    <row r="184">
      <c r="A184" s="33" t="n"/>
      <c r="B184" s="33" t="n"/>
      <c r="C184" s="33" t="n"/>
      <c r="D184" s="33" t="n"/>
      <c r="E184" s="33" t="n"/>
      <c r="F184" s="33" t="n"/>
      <c r="G184" s="33" t="n"/>
      <c r="H184" s="33" t="n"/>
      <c r="I184" s="33" t="n"/>
    </row>
    <row r="185">
      <c r="A185" s="33" t="n"/>
      <c r="B185" s="33" t="n"/>
      <c r="C185" s="33" t="n"/>
      <c r="D185" s="33" t="n"/>
      <c r="E185" s="33" t="n"/>
      <c r="F185" s="33" t="n"/>
      <c r="G185" s="33" t="n"/>
      <c r="H185" s="33" t="n"/>
      <c r="I185" s="33" t="n"/>
    </row>
    <row r="186">
      <c r="A186" s="33" t="n"/>
      <c r="B186" s="33" t="n"/>
      <c r="C186" s="33" t="n"/>
      <c r="D186" s="33" t="n"/>
      <c r="E186" s="33" t="n"/>
      <c r="F186" s="33" t="n"/>
      <c r="G186" s="33" t="n"/>
      <c r="H186" s="33" t="n"/>
      <c r="I186" s="33" t="n"/>
    </row>
    <row r="187">
      <c r="A187" s="33" t="n"/>
      <c r="B187" s="33" t="n"/>
      <c r="C187" s="33" t="n"/>
      <c r="D187" s="33" t="n"/>
      <c r="E187" s="33" t="n"/>
      <c r="F187" s="33" t="n"/>
      <c r="G187" s="33" t="n"/>
      <c r="H187" s="33" t="n"/>
      <c r="I187" s="33" t="n"/>
    </row>
    <row r="189">
      <c r="A189" s="37" t="inlineStr">
        <is>
          <t>Section I — Revenue segments  (Optional)</t>
        </is>
      </c>
    </row>
    <row r="190">
      <c r="A190"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91">
      <c r="A191" s="21" t="inlineStr">
        <is>
          <t>Segment name</t>
        </is>
      </c>
      <c r="B191" s="21" t="inlineStr">
        <is>
          <t>Start year</t>
        </is>
      </c>
      <c r="C191" s="21" t="inlineStr">
        <is>
          <t>Initial revenue</t>
        </is>
      </c>
      <c r="D191" s="21" t="inlineStr">
        <is>
          <t>Growth Y1</t>
        </is>
      </c>
      <c r="E191" s="21" t="inlineStr">
        <is>
          <t>Growth Y2</t>
        </is>
      </c>
      <c r="F191" s="21" t="inlineStr">
        <is>
          <t>Growth Y3</t>
        </is>
      </c>
      <c r="G191" s="21" t="inlineStr">
        <is>
          <t>Growth Y4</t>
        </is>
      </c>
      <c r="H191" s="21" t="inlineStr">
        <is>
          <t>Growth Y5</t>
        </is>
      </c>
      <c r="I191" s="21" t="inlineStr">
        <is>
          <t>GM Y1</t>
        </is>
      </c>
      <c r="J191" s="21" t="inlineStr">
        <is>
          <t>GM Y2</t>
        </is>
      </c>
      <c r="K191" s="21" t="inlineStr">
        <is>
          <t>GM Y3</t>
        </is>
      </c>
      <c r="L191" s="21" t="inlineStr">
        <is>
          <t>GM Y4</t>
        </is>
      </c>
      <c r="M191" s="21" t="inlineStr">
        <is>
          <t>GM Y5</t>
        </is>
      </c>
      <c r="N191" s="21" t="inlineStr">
        <is>
          <t>Opex% Y1</t>
        </is>
      </c>
      <c r="O191" s="21" t="inlineStr">
        <is>
          <t>Opex% Y2</t>
        </is>
      </c>
      <c r="P191" s="21" t="inlineStr">
        <is>
          <t>Opex% Y3</t>
        </is>
      </c>
      <c r="Q191" s="21" t="inlineStr">
        <is>
          <t>Opex% Y4</t>
        </is>
      </c>
      <c r="R191" s="21" t="inlineStr">
        <is>
          <t>Opex% Y5</t>
        </is>
      </c>
      <c r="S191" s="21" t="inlineStr">
        <is>
          <t>Source</t>
        </is>
      </c>
      <c r="T191" s="21" t="inlineStr">
        <is>
          <t>Growth basis</t>
        </is>
      </c>
      <c r="U191" s="21" t="inlineStr">
        <is>
          <t>Contractual support</t>
        </is>
      </c>
    </row>
    <row r="192">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row>
    <row r="193">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row>
    <row r="194">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row>
    <row r="195">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row>
    <row r="196">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row>
    <row r="197">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row>
    <row r="198">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row>
    <row r="199">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row>
  </sheetData>
  <mergeCells count="16">
    <mergeCell ref="A18:H18"/>
    <mergeCell ref="A130:H130"/>
    <mergeCell ref="A86:H86"/>
    <mergeCell ref="A189:M189"/>
    <mergeCell ref="A24:H24"/>
    <mergeCell ref="A2:H2"/>
    <mergeCell ref="A171:H171"/>
    <mergeCell ref="A121:H121"/>
    <mergeCell ref="A103:H103"/>
    <mergeCell ref="A115:H115"/>
    <mergeCell ref="A138:H138"/>
    <mergeCell ref="A1:H1"/>
    <mergeCell ref="A32:H32"/>
    <mergeCell ref="A79:H79"/>
    <mergeCell ref="A190:M190"/>
    <mergeCell ref="A6:H6"/>
  </mergeCells>
  <dataValidations count="2">
    <dataValidation sqref="F7 F8 F9 F10 F11 F12 F13 F14 F15 F16 F19 F20 F21 F22 F25 F26 F27 F28 F29 F30 F33 F34 F35 F36 F37 F38 F39 F40 F41 F42 F43 F44 F45 F46 F47 F48 F49 F50 F51 F52 F53 F54 F55 F56 F57 F58 F59 F60 F61 F62 F63 F64 F65 F66 F67 F68 F69 F70 F71 F72 F73 F74 F75 F76 F77 F80 F81 F82 F83 F84 F87 F88 F89 F90 F91 F92 F93 F94 F95 F96 F97 F98 F99 F100 F101 F104 F105 F106 F107 F108 F109 F110 F111 F112 F113 F116 F117 F118 F119 F122 F123 F124 F125 F126 F127 F128 F131 F132 F133 F134 F135 F136" showDropDown="0" showInputMessage="0" showErrorMessage="0" allowBlank="1" type="list">
      <formula1>"Audited FS,Management Projections,Capital IQ,Bloomberg,Damodaran,Kroll,Mercer,Prospectus,Engagement Letter,Calculated,Manual"</formula1>
    </dataValidation>
    <dataValidation sqref="D116 D118"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8"/>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 - Primary</t>
        </is>
      </c>
      <c r="B8" s="2" t="inlineStr">
        <is>
          <t>(from Inputs)</t>
        </is>
      </c>
      <c r="C8" s="40">
        <f>revenue_y0</f>
        <v/>
      </c>
      <c r="D8" s="41">
        <f>C8*(1+IF(ISNUMBER(revenue_growth_primary_y1),revenue_growth_primary_y1,revenue_growth_y1))</f>
        <v/>
      </c>
      <c r="E8" s="41">
        <f>D8*(1+IF(ISNUMBER(revenue_growth_primary_y2),revenue_growth_primary_y2,revenue_growth_y2))</f>
        <v/>
      </c>
      <c r="F8" s="41">
        <f>E8*(1+IF(ISNUMBER(revenue_growth_primary_y3),revenue_growth_primary_y3,revenue_growth_y3))</f>
        <v/>
      </c>
      <c r="G8" s="41">
        <f>F8*(1+IF(ISNUMBER(revenue_growth_primary_y4),revenue_growth_primary_y4,revenue_growth_y4))</f>
        <v/>
      </c>
      <c r="H8" s="41">
        <f>G8*(1+IF(ISNUMBER(revenue_growth_primary_y5),revenue_growth_primary_y5,revenue_growth_y5))</f>
        <v/>
      </c>
    </row>
    <row r="9">
      <c r="A9" s="4" t="inlineStr">
        <is>
          <t xml:space="preserve">  Core business baseline carryover</t>
        </is>
      </c>
      <c r="C9" s="41" t="n"/>
      <c r="D9" s="41">
        <f>C8</f>
        <v/>
      </c>
      <c r="E9" s="41">
        <f>D8</f>
        <v/>
      </c>
      <c r="F9" s="41">
        <f>E8</f>
        <v/>
      </c>
      <c r="G9" s="41">
        <f>F8</f>
        <v/>
      </c>
      <c r="H9" s="41">
        <f>G8</f>
        <v/>
      </c>
    </row>
    <row r="10">
      <c r="A10" s="4" t="inlineStr">
        <is>
          <t xml:space="preserve">  Capped baseline growth</t>
        </is>
      </c>
      <c r="C10" s="41" t="n"/>
      <c r="D10" s="41">
        <f>C8*D11</f>
        <v/>
      </c>
      <c r="E10" s="41">
        <f>D8*E11</f>
        <v/>
      </c>
      <c r="F10" s="41">
        <f>E8*F11</f>
        <v/>
      </c>
      <c r="G10" s="41">
        <f>F8*G11</f>
        <v/>
      </c>
      <c r="H10" s="41">
        <f>G8*H11</f>
        <v/>
      </c>
    </row>
    <row r="11">
      <c r="A11" s="4" t="inlineStr">
        <is>
          <t>Revenue growth (primary)</t>
        </is>
      </c>
      <c r="B11" s="2" t="inlineStr">
        <is>
          <t>%</t>
        </is>
      </c>
      <c r="D11" s="42">
        <f>IF(ISNUMBER(revenue_growth_primary_y1),revenue_growth_primary_y1,revenue_growth_y1)</f>
        <v/>
      </c>
      <c r="E11" s="42">
        <f>IF(ISNUMBER(revenue_growth_primary_y2),revenue_growth_primary_y2,revenue_growth_y2)</f>
        <v/>
      </c>
      <c r="F11" s="42">
        <f>IF(ISNUMBER(revenue_growth_primary_y3),revenue_growth_primary_y3,revenue_growth_y3)</f>
        <v/>
      </c>
      <c r="G11" s="42">
        <f>IF(ISNUMBER(revenue_growth_primary_y4),revenue_growth_primary_y4,revenue_growth_y4)</f>
        <v/>
      </c>
      <c r="H11" s="42">
        <f>IF(ISNUMBER(revenue_growth_primary_y5),revenue_growth_primary_y5,revenue_growth_y5)</f>
        <v/>
      </c>
    </row>
    <row r="12">
      <c r="A12" s="4" t="inlineStr">
        <is>
          <t>Revenue - Others</t>
        </is>
      </c>
      <c r="B12" s="2" t="inlineStr">
        <is>
          <t>(currency × unit)</t>
        </is>
      </c>
      <c r="C12" s="43" t="n">
        <v>0</v>
      </c>
      <c r="D12" s="41">
        <f>D25-D8</f>
        <v/>
      </c>
      <c r="E12" s="41">
        <f>E25-E8</f>
        <v/>
      </c>
      <c r="F12" s="41">
        <f>F25-F8</f>
        <v/>
      </c>
      <c r="G12" s="41">
        <f>G25-G8</f>
        <v/>
      </c>
      <c r="H12" s="41">
        <f>H25-H8</f>
        <v/>
      </c>
    </row>
    <row r="13">
      <c r="A13" s="4" t="inlineStr">
        <is>
          <t xml:space="preserve">  Core business excess upside</t>
        </is>
      </c>
      <c r="C13" s="41" t="n"/>
      <c r="D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D75,0)+IF(AND(NOT(INDEX(segments_table,2,1)=""),EXACT(INDEX(segments_table,2,19),"core")),D79,0)+IF(AND(NOT(INDEX(segments_table,3,1)=""),EXACT(INDEX(segments_table,3,19),"core")),D83,0)+IF(AND(NOT(INDEX(segments_table,4,1)=""),EXACT(INDEX(segments_table,4,19),"core")),D87,0)+IF(AND(NOT(INDEX(segments_table,5,1)=""),EXACT(INDEX(segments_table,5,19),"core")),D91,0)+IF(AND(NOT(INDEX(segments_table,6,1)=""),EXACT(INDEX(segments_table,6,19),"core")),D95,0)+IF(AND(NOT(INDEX(segments_table,7,1)=""),EXACT(INDEX(segments_table,7,19),"core")),D99,0)+IF(AND(NOT(INDEX(segments_table,8,1)=""),EXACT(INDEX(segments_table,8,19),"core")),D103,0)-D8,0)</f>
        <v/>
      </c>
      <c r="E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E75,0)+IF(AND(NOT(INDEX(segments_table,2,1)=""),EXACT(INDEX(segments_table,2,19),"core")),E79,0)+IF(AND(NOT(INDEX(segments_table,3,1)=""),EXACT(INDEX(segments_table,3,19),"core")),E83,0)+IF(AND(NOT(INDEX(segments_table,4,1)=""),EXACT(INDEX(segments_table,4,19),"core")),E87,0)+IF(AND(NOT(INDEX(segments_table,5,1)=""),EXACT(INDEX(segments_table,5,19),"core")),E91,0)+IF(AND(NOT(INDEX(segments_table,6,1)=""),EXACT(INDEX(segments_table,6,19),"core")),E95,0)+IF(AND(NOT(INDEX(segments_table,7,1)=""),EXACT(INDEX(segments_table,7,19),"core")),E99,0)+IF(AND(NOT(INDEX(segments_table,8,1)=""),EXACT(INDEX(segments_table,8,19),"core")),E103,0)-E8,0)</f>
        <v/>
      </c>
      <c r="F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F75,0)+IF(AND(NOT(INDEX(segments_table,2,1)=""),EXACT(INDEX(segments_table,2,19),"core")),F79,0)+IF(AND(NOT(INDEX(segments_table,3,1)=""),EXACT(INDEX(segments_table,3,19),"core")),F83,0)+IF(AND(NOT(INDEX(segments_table,4,1)=""),EXACT(INDEX(segments_table,4,19),"core")),F87,0)+IF(AND(NOT(INDEX(segments_table,5,1)=""),EXACT(INDEX(segments_table,5,19),"core")),F91,0)+IF(AND(NOT(INDEX(segments_table,6,1)=""),EXACT(INDEX(segments_table,6,19),"core")),F95,0)+IF(AND(NOT(INDEX(segments_table,7,1)=""),EXACT(INDEX(segments_table,7,19),"core")),F99,0)+IF(AND(NOT(INDEX(segments_table,8,1)=""),EXACT(INDEX(segments_table,8,19),"core")),F103,0)-F8,0)</f>
        <v/>
      </c>
      <c r="G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G75,0)+IF(AND(NOT(INDEX(segments_table,2,1)=""),EXACT(INDEX(segments_table,2,19),"core")),G79,0)+IF(AND(NOT(INDEX(segments_table,3,1)=""),EXACT(INDEX(segments_table,3,19),"core")),G83,0)+IF(AND(NOT(INDEX(segments_table,4,1)=""),EXACT(INDEX(segments_table,4,19),"core")),G87,0)+IF(AND(NOT(INDEX(segments_table,5,1)=""),EXACT(INDEX(segments_table,5,19),"core")),G91,0)+IF(AND(NOT(INDEX(segments_table,6,1)=""),EXACT(INDEX(segments_table,6,19),"core")),G95,0)+IF(AND(NOT(INDEX(segments_table,7,1)=""),EXACT(INDEX(segments_table,7,19),"core")),G99,0)+IF(AND(NOT(INDEX(segments_table,8,1)=""),EXACT(INDEX(segments_table,8,19),"core")),G103,0)-G8,0)</f>
        <v/>
      </c>
      <c r="H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H75,0)+IF(AND(NOT(INDEX(segments_table,2,1)=""),EXACT(INDEX(segments_table,2,19),"core")),H79,0)+IF(AND(NOT(INDEX(segments_table,3,1)=""),EXACT(INDEX(segments_table,3,19),"core")),H83,0)+IF(AND(NOT(INDEX(segments_table,4,1)=""),EXACT(INDEX(segments_table,4,19),"core")),H87,0)+IF(AND(NOT(INDEX(segments_table,5,1)=""),EXACT(INDEX(segments_table,5,19),"core")),H91,0)+IF(AND(NOT(INDEX(segments_table,6,1)=""),EXACT(INDEX(segments_table,6,19),"core")),H95,0)+IF(AND(NOT(INDEX(segments_table,7,1)=""),EXACT(INDEX(segments_table,7,19),"core")),H99,0)+IF(AND(NOT(INDEX(segments_table,8,1)=""),EXACT(INDEX(segments_table,8,19),"core")),H103,0)-H8,0)</f>
        <v/>
      </c>
    </row>
    <row r="14">
      <c r="A14" s="4">
        <f>IF(OR(INDEX(segments_table,1,1)="",EXACT(INDEX(segments_table,1,19),"core")),"","  "&amp;INDEX(segments_table,1,1))</f>
        <v/>
      </c>
      <c r="C14" s="41" t="n"/>
      <c r="D14" s="41">
        <f>IF(OR(INDEX(segments_table,1,1)="",EXACT(INDEX(segments_table,1,19),"core")),"",D75)</f>
        <v/>
      </c>
      <c r="E14" s="41">
        <f>IF(OR(INDEX(segments_table,1,1)="",EXACT(INDEX(segments_table,1,19),"core")),"",E75)</f>
        <v/>
      </c>
      <c r="F14" s="41">
        <f>IF(OR(INDEX(segments_table,1,1)="",EXACT(INDEX(segments_table,1,19),"core")),"",F75)</f>
        <v/>
      </c>
      <c r="G14" s="41">
        <f>IF(OR(INDEX(segments_table,1,1)="",EXACT(INDEX(segments_table,1,19),"core")),"",G75)</f>
        <v/>
      </c>
      <c r="H14" s="41">
        <f>IF(OR(INDEX(segments_table,1,1)="",EXACT(INDEX(segments_table,1,19),"core")),"",H75)</f>
        <v/>
      </c>
    </row>
    <row r="15">
      <c r="A15" s="4">
        <f>IF(OR(INDEX(segments_table,2,1)="",EXACT(INDEX(segments_table,2,19),"core")),"","  "&amp;INDEX(segments_table,2,1))</f>
        <v/>
      </c>
      <c r="C15" s="41" t="n"/>
      <c r="D15" s="41">
        <f>IF(OR(INDEX(segments_table,2,1)="",EXACT(INDEX(segments_table,2,19),"core")),"",D79)</f>
        <v/>
      </c>
      <c r="E15" s="41">
        <f>IF(OR(INDEX(segments_table,2,1)="",EXACT(INDEX(segments_table,2,19),"core")),"",E79)</f>
        <v/>
      </c>
      <c r="F15" s="41">
        <f>IF(OR(INDEX(segments_table,2,1)="",EXACT(INDEX(segments_table,2,19),"core")),"",F79)</f>
        <v/>
      </c>
      <c r="G15" s="41">
        <f>IF(OR(INDEX(segments_table,2,1)="",EXACT(INDEX(segments_table,2,19),"core")),"",G79)</f>
        <v/>
      </c>
      <c r="H15" s="41">
        <f>IF(OR(INDEX(segments_table,2,1)="",EXACT(INDEX(segments_table,2,19),"core")),"",H79)</f>
        <v/>
      </c>
    </row>
    <row r="16">
      <c r="A16" s="4">
        <f>IF(OR(INDEX(segments_table,3,1)="",EXACT(INDEX(segments_table,3,19),"core")),"","  "&amp;INDEX(segments_table,3,1))</f>
        <v/>
      </c>
      <c r="C16" s="41" t="n"/>
      <c r="D16" s="41">
        <f>IF(OR(INDEX(segments_table,3,1)="",EXACT(INDEX(segments_table,3,19),"core")),"",D83)</f>
        <v/>
      </c>
      <c r="E16" s="41">
        <f>IF(OR(INDEX(segments_table,3,1)="",EXACT(INDEX(segments_table,3,19),"core")),"",E83)</f>
        <v/>
      </c>
      <c r="F16" s="41">
        <f>IF(OR(INDEX(segments_table,3,1)="",EXACT(INDEX(segments_table,3,19),"core")),"",F83)</f>
        <v/>
      </c>
      <c r="G16" s="41">
        <f>IF(OR(INDEX(segments_table,3,1)="",EXACT(INDEX(segments_table,3,19),"core")),"",G83)</f>
        <v/>
      </c>
      <c r="H16" s="41">
        <f>IF(OR(INDEX(segments_table,3,1)="",EXACT(INDEX(segments_table,3,19),"core")),"",H83)</f>
        <v/>
      </c>
    </row>
    <row r="17">
      <c r="A17" s="4">
        <f>IF(OR(INDEX(segments_table,4,1)="",EXACT(INDEX(segments_table,4,19),"core")),"","  "&amp;INDEX(segments_table,4,1))</f>
        <v/>
      </c>
      <c r="C17" s="41" t="n"/>
      <c r="D17" s="41">
        <f>IF(OR(INDEX(segments_table,4,1)="",EXACT(INDEX(segments_table,4,19),"core")),"",D87)</f>
        <v/>
      </c>
      <c r="E17" s="41">
        <f>IF(OR(INDEX(segments_table,4,1)="",EXACT(INDEX(segments_table,4,19),"core")),"",E87)</f>
        <v/>
      </c>
      <c r="F17" s="41">
        <f>IF(OR(INDEX(segments_table,4,1)="",EXACT(INDEX(segments_table,4,19),"core")),"",F87)</f>
        <v/>
      </c>
      <c r="G17" s="41">
        <f>IF(OR(INDEX(segments_table,4,1)="",EXACT(INDEX(segments_table,4,19),"core")),"",G87)</f>
        <v/>
      </c>
      <c r="H17" s="41">
        <f>IF(OR(INDEX(segments_table,4,1)="",EXACT(INDEX(segments_table,4,19),"core")),"",H87)</f>
        <v/>
      </c>
    </row>
    <row r="18">
      <c r="A18" s="4">
        <f>IF(OR(INDEX(segments_table,5,1)="",EXACT(INDEX(segments_table,5,19),"core")),"","  "&amp;INDEX(segments_table,5,1))</f>
        <v/>
      </c>
      <c r="C18" s="41" t="n"/>
      <c r="D18" s="41">
        <f>IF(OR(INDEX(segments_table,5,1)="",EXACT(INDEX(segments_table,5,19),"core")),"",D91)</f>
        <v/>
      </c>
      <c r="E18" s="41">
        <f>IF(OR(INDEX(segments_table,5,1)="",EXACT(INDEX(segments_table,5,19),"core")),"",E91)</f>
        <v/>
      </c>
      <c r="F18" s="41">
        <f>IF(OR(INDEX(segments_table,5,1)="",EXACT(INDEX(segments_table,5,19),"core")),"",F91)</f>
        <v/>
      </c>
      <c r="G18" s="41">
        <f>IF(OR(INDEX(segments_table,5,1)="",EXACT(INDEX(segments_table,5,19),"core")),"",G91)</f>
        <v/>
      </c>
      <c r="H18" s="41">
        <f>IF(OR(INDEX(segments_table,5,1)="",EXACT(INDEX(segments_table,5,19),"core")),"",H91)</f>
        <v/>
      </c>
    </row>
    <row r="19">
      <c r="A19" s="4">
        <f>IF(OR(INDEX(segments_table,6,1)="",EXACT(INDEX(segments_table,6,19),"core")),"","  "&amp;INDEX(segments_table,6,1))</f>
        <v/>
      </c>
      <c r="C19" s="41" t="n"/>
      <c r="D19" s="41">
        <f>IF(OR(INDEX(segments_table,6,1)="",EXACT(INDEX(segments_table,6,19),"core")),"",D95)</f>
        <v/>
      </c>
      <c r="E19" s="41">
        <f>IF(OR(INDEX(segments_table,6,1)="",EXACT(INDEX(segments_table,6,19),"core")),"",E95)</f>
        <v/>
      </c>
      <c r="F19" s="41">
        <f>IF(OR(INDEX(segments_table,6,1)="",EXACT(INDEX(segments_table,6,19),"core")),"",F95)</f>
        <v/>
      </c>
      <c r="G19" s="41">
        <f>IF(OR(INDEX(segments_table,6,1)="",EXACT(INDEX(segments_table,6,19),"core")),"",G95)</f>
        <v/>
      </c>
      <c r="H19" s="41">
        <f>IF(OR(INDEX(segments_table,6,1)="",EXACT(INDEX(segments_table,6,19),"core")),"",H95)</f>
        <v/>
      </c>
    </row>
    <row r="20">
      <c r="A20" s="4">
        <f>IF(OR(INDEX(segments_table,7,1)="",EXACT(INDEX(segments_table,7,19),"core")),"","  "&amp;INDEX(segments_table,7,1))</f>
        <v/>
      </c>
      <c r="C20" s="41" t="n"/>
      <c r="D20" s="41">
        <f>IF(OR(INDEX(segments_table,7,1)="",EXACT(INDEX(segments_table,7,19),"core")),"",D99)</f>
        <v/>
      </c>
      <c r="E20" s="41">
        <f>IF(OR(INDEX(segments_table,7,1)="",EXACT(INDEX(segments_table,7,19),"core")),"",E99)</f>
        <v/>
      </c>
      <c r="F20" s="41">
        <f>IF(OR(INDEX(segments_table,7,1)="",EXACT(INDEX(segments_table,7,19),"core")),"",F99)</f>
        <v/>
      </c>
      <c r="G20" s="41">
        <f>IF(OR(INDEX(segments_table,7,1)="",EXACT(INDEX(segments_table,7,19),"core")),"",G99)</f>
        <v/>
      </c>
      <c r="H20" s="41">
        <f>IF(OR(INDEX(segments_table,7,1)="",EXACT(INDEX(segments_table,7,19),"core")),"",H99)</f>
        <v/>
      </c>
    </row>
    <row r="21">
      <c r="A21" s="4">
        <f>IF(OR(INDEX(segments_table,8,1)="",EXACT(INDEX(segments_table,8,19),"core")),"","  "&amp;INDEX(segments_table,8,1))</f>
        <v/>
      </c>
      <c r="C21" s="41" t="n"/>
      <c r="D21" s="41">
        <f>IF(OR(INDEX(segments_table,8,1)="",EXACT(INDEX(segments_table,8,19),"core")),"",D103)</f>
        <v/>
      </c>
      <c r="E21" s="41">
        <f>IF(OR(INDEX(segments_table,8,1)="",EXACT(INDEX(segments_table,8,19),"core")),"",E103)</f>
        <v/>
      </c>
      <c r="F21" s="41">
        <f>IF(OR(INDEX(segments_table,8,1)="",EXACT(INDEX(segments_table,8,19),"core")),"",F103)</f>
        <v/>
      </c>
      <c r="G21" s="41">
        <f>IF(OR(INDEX(segments_table,8,1)="",EXACT(INDEX(segments_table,8,19),"core")),"",G103)</f>
        <v/>
      </c>
      <c r="H21" s="41">
        <f>IF(OR(INDEX(segments_table,8,1)="",EXACT(INDEX(segments_table,8,19),"core")),"",H103)</f>
        <v/>
      </c>
    </row>
    <row r="22">
      <c r="A22" s="4" t="inlineStr">
        <is>
          <t xml:space="preserve">  Unallocated model adjustment</t>
        </is>
      </c>
      <c r="C22" s="41" t="n"/>
      <c r="D22" s="41">
        <f>D12-D13-SUM(D14:D21)</f>
        <v/>
      </c>
      <c r="E22" s="41">
        <f>E12-E13-SUM(E14:E21)</f>
        <v/>
      </c>
      <c r="F22" s="41">
        <f>F12-F13-SUM(F14:F21)</f>
        <v/>
      </c>
      <c r="G22" s="41">
        <f>G12-G13-SUM(G14:G21)</f>
        <v/>
      </c>
      <c r="H22" s="41">
        <f>H12-H13-SUM(H14:H21)</f>
        <v/>
      </c>
    </row>
    <row r="23">
      <c r="A23" s="4" t="inlineStr">
        <is>
          <t>Sum of Revenue - Others (tie-out)</t>
        </is>
      </c>
      <c r="C23" s="41" t="n"/>
      <c r="D23" s="41">
        <f>SUM(D13:D22)</f>
        <v/>
      </c>
      <c r="E23" s="41">
        <f>SUM(E13:E22)</f>
        <v/>
      </c>
      <c r="F23" s="41">
        <f>SUM(F13:F22)</f>
        <v/>
      </c>
      <c r="G23" s="41">
        <f>SUM(G13:G22)</f>
        <v/>
      </c>
      <c r="H23" s="41">
        <f>SUM(H13:H22)</f>
        <v/>
      </c>
    </row>
    <row r="24">
      <c r="A24" s="4" t="inlineStr">
        <is>
          <t>Other revenue growth</t>
        </is>
      </c>
      <c r="B24" s="2" t="inlineStr">
        <is>
          <t>%</t>
        </is>
      </c>
      <c r="D24" s="42">
        <f>IFERROR(D12/C12-1,"")</f>
        <v/>
      </c>
      <c r="E24" s="42">
        <f>IFERROR(E12/D12-1,"")</f>
        <v/>
      </c>
      <c r="F24" s="42">
        <f>IFERROR(F12/E12-1,"")</f>
        <v/>
      </c>
      <c r="G24" s="42">
        <f>IFERROR(G12/F12-1,"")</f>
        <v/>
      </c>
      <c r="H24" s="42">
        <f>IFERROR(H12/G12-1,"")</f>
        <v/>
      </c>
    </row>
    <row r="25">
      <c r="A25" s="4" t="inlineStr">
        <is>
          <t>Total Revenue</t>
        </is>
      </c>
      <c r="B25" s="2" t="inlineStr">
        <is>
          <t>(from Inputs)</t>
        </is>
      </c>
      <c r="C25" s="40">
        <f>revenue_y0</f>
        <v/>
      </c>
      <c r="D25" s="41">
        <f>C25*(1+revenue_growth_y1)</f>
        <v/>
      </c>
      <c r="E25" s="41">
        <f>D25*(1+revenue_growth_y2)</f>
        <v/>
      </c>
      <c r="F25" s="41">
        <f>E25*(1+revenue_growth_y3)</f>
        <v/>
      </c>
      <c r="G25" s="41">
        <f>F25*(1+revenue_growth_y4)</f>
        <v/>
      </c>
      <c r="H25" s="41">
        <f>G25*(1+revenue_growth_y5)</f>
        <v/>
      </c>
    </row>
    <row r="26">
      <c r="A26" s="4" t="inlineStr">
        <is>
          <t>Revenue growth (total)</t>
        </is>
      </c>
      <c r="B26" s="2" t="inlineStr">
        <is>
          <t>%</t>
        </is>
      </c>
      <c r="D26" s="42">
        <f>revenue_growth_y1</f>
        <v/>
      </c>
      <c r="E26" s="42">
        <f>revenue_growth_y2</f>
        <v/>
      </c>
      <c r="F26" s="42">
        <f>revenue_growth_y3</f>
        <v/>
      </c>
      <c r="G26" s="42">
        <f>revenue_growth_y4</f>
        <v/>
      </c>
      <c r="H26" s="42">
        <f>revenue_growth_y5</f>
        <v/>
      </c>
    </row>
    <row r="28">
      <c r="A28" s="3" t="inlineStr">
        <is>
          <t>Cost of goods sold</t>
        </is>
      </c>
    </row>
    <row r="30">
      <c r="A30" s="44" t="inlineStr">
        <is>
          <t>COGS - Primary</t>
        </is>
      </c>
    </row>
    <row r="31">
      <c r="A31" s="4">
        <f>A9</f>
        <v/>
      </c>
      <c r="C31" s="41" t="n"/>
      <c r="D31" s="41">
        <f>IF(D9="","",IFERROR((D25-D47)*D9/D25,0))</f>
        <v/>
      </c>
      <c r="E31" s="41">
        <f>IF(E9="","",IFERROR((E25-E47)*E9/E25,0))</f>
        <v/>
      </c>
      <c r="F31" s="41">
        <f>IF(F9="","",IFERROR((F25-F47)*F9/F25,0))</f>
        <v/>
      </c>
      <c r="G31" s="41">
        <f>IF(G9="","",IFERROR((G25-G47)*G9/G25,0))</f>
        <v/>
      </c>
      <c r="H31" s="41">
        <f>IF(H9="","",IFERROR((H25-H47)*H9/H25,0))</f>
        <v/>
      </c>
    </row>
    <row r="32">
      <c r="A32" s="4">
        <f>A10</f>
        <v/>
      </c>
      <c r="C32" s="41" t="n"/>
      <c r="D32" s="41">
        <f>IF(D10="","",IFERROR((D25-D47)*D10/D25,0))</f>
        <v/>
      </c>
      <c r="E32" s="41">
        <f>IF(E10="","",IFERROR((E25-E47)*E10/E25,0))</f>
        <v/>
      </c>
      <c r="F32" s="41">
        <f>IF(F10="","",IFERROR((F25-F47)*F10/F25,0))</f>
        <v/>
      </c>
      <c r="G32" s="41">
        <f>IF(G10="","",IFERROR((G25-G47)*G10/G25,0))</f>
        <v/>
      </c>
      <c r="H32" s="41">
        <f>IF(H10="","",IFERROR((H25-H47)*H10/H25,0))</f>
        <v/>
      </c>
    </row>
    <row r="33">
      <c r="A33" s="44" t="inlineStr">
        <is>
          <t>COGS - Others</t>
        </is>
      </c>
    </row>
    <row r="34">
      <c r="A34" s="4">
        <f>A13</f>
        <v/>
      </c>
      <c r="C34" s="41" t="n"/>
      <c r="D34" s="41">
        <f>IF(D13="","",IFERROR((D25-D47)*D13/D25,0))</f>
        <v/>
      </c>
      <c r="E34" s="41">
        <f>IF(E13="","",IFERROR((E25-E47)*E13/E25,0))</f>
        <v/>
      </c>
      <c r="F34" s="41">
        <f>IF(F13="","",IFERROR((F25-F47)*F13/F25,0))</f>
        <v/>
      </c>
      <c r="G34" s="41">
        <f>IF(G13="","",IFERROR((G25-G47)*G13/G25,0))</f>
        <v/>
      </c>
      <c r="H34" s="41">
        <f>IF(H13="","",IFERROR((H25-H47)*H13/H25,0))</f>
        <v/>
      </c>
    </row>
    <row r="35">
      <c r="A35" s="4">
        <f>A14</f>
        <v/>
      </c>
      <c r="C35" s="41" t="n"/>
      <c r="D35" s="41">
        <f>IF(D14="","",IFERROR((D25-D47)*D14/D25,0))</f>
        <v/>
      </c>
      <c r="E35" s="41">
        <f>IF(E14="","",IFERROR((E25-E47)*E14/E25,0))</f>
        <v/>
      </c>
      <c r="F35" s="41">
        <f>IF(F14="","",IFERROR((F25-F47)*F14/F25,0))</f>
        <v/>
      </c>
      <c r="G35" s="41">
        <f>IF(G14="","",IFERROR((G25-G47)*G14/G25,0))</f>
        <v/>
      </c>
      <c r="H35" s="41">
        <f>IF(H14="","",IFERROR((H25-H47)*H14/H25,0))</f>
        <v/>
      </c>
    </row>
    <row r="36">
      <c r="A36" s="4">
        <f>A15</f>
        <v/>
      </c>
      <c r="C36" s="41" t="n"/>
      <c r="D36" s="41">
        <f>IF(D15="","",IFERROR((D25-D47)*D15/D25,0))</f>
        <v/>
      </c>
      <c r="E36" s="41">
        <f>IF(E15="","",IFERROR((E25-E47)*E15/E25,0))</f>
        <v/>
      </c>
      <c r="F36" s="41">
        <f>IF(F15="","",IFERROR((F25-F47)*F15/F25,0))</f>
        <v/>
      </c>
      <c r="G36" s="41">
        <f>IF(G15="","",IFERROR((G25-G47)*G15/G25,0))</f>
        <v/>
      </c>
      <c r="H36" s="41">
        <f>IF(H15="","",IFERROR((H25-H47)*H15/H25,0))</f>
        <v/>
      </c>
    </row>
    <row r="37">
      <c r="A37" s="4">
        <f>A16</f>
        <v/>
      </c>
      <c r="C37" s="41" t="n"/>
      <c r="D37" s="41">
        <f>IF(D16="","",IFERROR((D25-D47)*D16/D25,0))</f>
        <v/>
      </c>
      <c r="E37" s="41">
        <f>IF(E16="","",IFERROR((E25-E47)*E16/E25,0))</f>
        <v/>
      </c>
      <c r="F37" s="41">
        <f>IF(F16="","",IFERROR((F25-F47)*F16/F25,0))</f>
        <v/>
      </c>
      <c r="G37" s="41">
        <f>IF(G16="","",IFERROR((G25-G47)*G16/G25,0))</f>
        <v/>
      </c>
      <c r="H37" s="41">
        <f>IF(H16="","",IFERROR((H25-H47)*H16/H25,0))</f>
        <v/>
      </c>
    </row>
    <row r="38">
      <c r="A38" s="4">
        <f>A17</f>
        <v/>
      </c>
      <c r="C38" s="41" t="n"/>
      <c r="D38" s="41">
        <f>IF(D17="","",IFERROR((D25-D47)*D17/D25,0))</f>
        <v/>
      </c>
      <c r="E38" s="41">
        <f>IF(E17="","",IFERROR((E25-E47)*E17/E25,0))</f>
        <v/>
      </c>
      <c r="F38" s="41">
        <f>IF(F17="","",IFERROR((F25-F47)*F17/F25,0))</f>
        <v/>
      </c>
      <c r="G38" s="41">
        <f>IF(G17="","",IFERROR((G25-G47)*G17/G25,0))</f>
        <v/>
      </c>
      <c r="H38" s="41">
        <f>IF(H17="","",IFERROR((H25-H47)*H17/H25,0))</f>
        <v/>
      </c>
    </row>
    <row r="39">
      <c r="A39" s="4">
        <f>A18</f>
        <v/>
      </c>
      <c r="C39" s="41" t="n"/>
      <c r="D39" s="41">
        <f>IF(D18="","",IFERROR((D25-D47)*D18/D25,0))</f>
        <v/>
      </c>
      <c r="E39" s="41">
        <f>IF(E18="","",IFERROR((E25-E47)*E18/E25,0))</f>
        <v/>
      </c>
      <c r="F39" s="41">
        <f>IF(F18="","",IFERROR((F25-F47)*F18/F25,0))</f>
        <v/>
      </c>
      <c r="G39" s="41">
        <f>IF(G18="","",IFERROR((G25-G47)*G18/G25,0))</f>
        <v/>
      </c>
      <c r="H39" s="41">
        <f>IF(H18="","",IFERROR((H25-H47)*H18/H25,0))</f>
        <v/>
      </c>
    </row>
    <row r="40">
      <c r="A40" s="4">
        <f>A19</f>
        <v/>
      </c>
      <c r="C40" s="41" t="n"/>
      <c r="D40" s="41">
        <f>IF(D19="","",IFERROR((D25-D47)*D19/D25,0))</f>
        <v/>
      </c>
      <c r="E40" s="41">
        <f>IF(E19="","",IFERROR((E25-E47)*E19/E25,0))</f>
        <v/>
      </c>
      <c r="F40" s="41">
        <f>IF(F19="","",IFERROR((F25-F47)*F19/F25,0))</f>
        <v/>
      </c>
      <c r="G40" s="41">
        <f>IF(G19="","",IFERROR((G25-G47)*G19/G25,0))</f>
        <v/>
      </c>
      <c r="H40" s="41">
        <f>IF(H19="","",IFERROR((H25-H47)*H19/H25,0))</f>
        <v/>
      </c>
    </row>
    <row r="41">
      <c r="A41" s="4">
        <f>A20</f>
        <v/>
      </c>
      <c r="C41" s="41" t="n"/>
      <c r="D41" s="41">
        <f>IF(D20="","",IFERROR((D25-D47)*D20/D25,0))</f>
        <v/>
      </c>
      <c r="E41" s="41">
        <f>IF(E20="","",IFERROR((E25-E47)*E20/E25,0))</f>
        <v/>
      </c>
      <c r="F41" s="41">
        <f>IF(F20="","",IFERROR((F25-F47)*F20/F25,0))</f>
        <v/>
      </c>
      <c r="G41" s="41">
        <f>IF(G20="","",IFERROR((G25-G47)*G20/G25,0))</f>
        <v/>
      </c>
      <c r="H41" s="41">
        <f>IF(H20="","",IFERROR((H25-H47)*H20/H25,0))</f>
        <v/>
      </c>
    </row>
    <row r="42">
      <c r="A42" s="4">
        <f>A21</f>
        <v/>
      </c>
      <c r="C42" s="41" t="n"/>
      <c r="D42" s="41">
        <f>IF(D21="","",IFERROR((D25-D47)*D21/D25,0))</f>
        <v/>
      </c>
      <c r="E42" s="41">
        <f>IF(E21="","",IFERROR((E25-E47)*E21/E25,0))</f>
        <v/>
      </c>
      <c r="F42" s="41">
        <f>IF(F21="","",IFERROR((F25-F47)*F21/F25,0))</f>
        <v/>
      </c>
      <c r="G42" s="41">
        <f>IF(G21="","",IFERROR((G25-G47)*G21/G25,0))</f>
        <v/>
      </c>
      <c r="H42" s="41">
        <f>IF(H21="","",IFERROR((H25-H47)*H21/H25,0))</f>
        <v/>
      </c>
    </row>
    <row r="43">
      <c r="A43" s="4">
        <f>A22</f>
        <v/>
      </c>
      <c r="C43" s="41" t="n"/>
      <c r="D43" s="41">
        <f>IF(D22="","",IFERROR((D25-D47)*D22/D25,0))</f>
        <v/>
      </c>
      <c r="E43" s="41">
        <f>IF(E22="","",IFERROR((E25-E47)*E22/E25,0))</f>
        <v/>
      </c>
      <c r="F43" s="41">
        <f>IF(F22="","",IFERROR((F25-F47)*F22/F25,0))</f>
        <v/>
      </c>
      <c r="G43" s="41">
        <f>IF(G22="","",IFERROR((G25-G47)*G22/G25,0))</f>
        <v/>
      </c>
      <c r="H43" s="41">
        <f>IF(H22="","",IFERROR((H25-H47)*H22/H25,0))</f>
        <v/>
      </c>
    </row>
    <row r="44">
      <c r="A44" s="45" t="inlineStr">
        <is>
          <t>Total COGS</t>
        </is>
      </c>
      <c r="B44" s="2" t="inlineStr">
        <is>
          <t>(currency × unit)</t>
        </is>
      </c>
      <c r="C44" s="41" t="n"/>
      <c r="D44" s="46">
        <f>SUM(D31:D43)</f>
        <v/>
      </c>
      <c r="E44" s="46">
        <f>SUM(E31:E43)</f>
        <v/>
      </c>
      <c r="F44" s="46">
        <f>SUM(F31:F43)</f>
        <v/>
      </c>
      <c r="G44" s="46">
        <f>SUM(G31:G43)</f>
        <v/>
      </c>
      <c r="H44" s="46">
        <f>SUM(H31:H43)</f>
        <v/>
      </c>
    </row>
    <row r="46">
      <c r="A46" s="3" t="inlineStr">
        <is>
          <t>Profitability</t>
        </is>
      </c>
    </row>
    <row r="47">
      <c r="A47" s="4" t="inlineStr">
        <is>
          <t>Gross profit</t>
        </is>
      </c>
      <c r="B47" s="2" t="inlineStr">
        <is>
          <t>(currency × unit)</t>
        </is>
      </c>
      <c r="C47" s="41">
        <f>IFERROR(gross_profit_y0,"")</f>
        <v/>
      </c>
      <c r="D47" s="41">
        <f>D25*gross_margin_y1</f>
        <v/>
      </c>
      <c r="E47" s="41">
        <f>E25*gross_margin_y2</f>
        <v/>
      </c>
      <c r="F47" s="41">
        <f>F25*gross_margin_y3</f>
        <v/>
      </c>
      <c r="G47" s="41">
        <f>G25*gross_margin_y4</f>
        <v/>
      </c>
      <c r="H47" s="41">
        <f>H25*gross_margin_y5</f>
        <v/>
      </c>
    </row>
    <row r="48">
      <c r="A48" s="4" t="inlineStr">
        <is>
          <t>Gross margin</t>
        </is>
      </c>
      <c r="B48" s="2" t="inlineStr">
        <is>
          <t>%</t>
        </is>
      </c>
      <c r="C48">
        <f>IFERROR(gross_profit_y0/revenue_y0,"")</f>
        <v/>
      </c>
      <c r="D48" s="42">
        <f>gross_margin_y1</f>
        <v/>
      </c>
      <c r="E48" s="42">
        <f>gross_margin_y2</f>
        <v/>
      </c>
      <c r="F48" s="42">
        <f>gross_margin_y3</f>
        <v/>
      </c>
      <c r="G48" s="42">
        <f>gross_margin_y4</f>
        <v/>
      </c>
      <c r="H48" s="42">
        <f>gross_margin_y5</f>
        <v/>
      </c>
    </row>
    <row r="49">
      <c r="A49" s="4" t="inlineStr">
        <is>
          <t>Operating expenses</t>
        </is>
      </c>
      <c r="B49" s="2" t="inlineStr">
        <is>
          <t>(currency × unit)</t>
        </is>
      </c>
      <c r="C49" s="41">
        <f>IFERROR(opex_y0,"")</f>
        <v/>
      </c>
      <c r="D49" s="41">
        <f>-(D25-D107)*opex_pct_revenue_y1+D108</f>
        <v/>
      </c>
      <c r="E49" s="41">
        <f>-(E25-E107)*opex_pct_revenue_y2+E108</f>
        <v/>
      </c>
      <c r="F49" s="41">
        <f>-(F25-F107)*opex_pct_revenue_y3+F108</f>
        <v/>
      </c>
      <c r="G49" s="41">
        <f>-(G25-G107)*opex_pct_revenue_y4+G108</f>
        <v/>
      </c>
      <c r="H49" s="41">
        <f>-(H25-H107)*opex_pct_revenue_y5+H108</f>
        <v/>
      </c>
    </row>
    <row r="50">
      <c r="A50" s="4" t="inlineStr">
        <is>
          <t>EBITDA</t>
        </is>
      </c>
      <c r="B50" s="2" t="inlineStr">
        <is>
          <t>(currency × unit)</t>
        </is>
      </c>
      <c r="C50" s="41">
        <f>IFERROR(ebitda_y0,"")</f>
        <v/>
      </c>
      <c r="D50" s="41">
        <f>D47+D49</f>
        <v/>
      </c>
      <c r="E50" s="41">
        <f>E47+E49</f>
        <v/>
      </c>
      <c r="F50" s="41">
        <f>F47+F49</f>
        <v/>
      </c>
      <c r="G50" s="41">
        <f>G47+G49</f>
        <v/>
      </c>
      <c r="H50" s="41">
        <f>H47+H49</f>
        <v/>
      </c>
    </row>
    <row r="51">
      <c r="A51" s="4" t="inlineStr">
        <is>
          <t>EBITDA margin</t>
        </is>
      </c>
      <c r="B51" s="2" t="inlineStr">
        <is>
          <t>%</t>
        </is>
      </c>
      <c r="C51">
        <f>IFERROR(ebitda_y0/revenue_y0,"")</f>
        <v/>
      </c>
      <c r="D51" s="42">
        <f>IFERROR(D50/D25,0)</f>
        <v/>
      </c>
      <c r="E51" s="42">
        <f>IFERROR(E50/E25,0)</f>
        <v/>
      </c>
      <c r="F51" s="42">
        <f>IFERROR(F50/F25,0)</f>
        <v/>
      </c>
      <c r="G51" s="42">
        <f>IFERROR(G50/G25,0)</f>
        <v/>
      </c>
      <c r="H51" s="42">
        <f>IFERROR(H50/H25,0)</f>
        <v/>
      </c>
    </row>
    <row r="52">
      <c r="A52" s="4" t="inlineStr">
        <is>
          <t>Depreciation &amp; amortization</t>
        </is>
      </c>
      <c r="B52" s="2" t="inlineStr">
        <is>
          <t>(currency × unit)</t>
        </is>
      </c>
      <c r="C52" s="41" t="n"/>
      <c r="D52" s="41">
        <f>-D25*dep_pct_revenue_y1</f>
        <v/>
      </c>
      <c r="E52" s="41">
        <f>-E25*dep_pct_revenue_y2</f>
        <v/>
      </c>
      <c r="F52" s="41">
        <f>-F25*dep_pct_revenue_y3</f>
        <v/>
      </c>
      <c r="G52" s="41">
        <f>-G25*dep_pct_revenue_y4</f>
        <v/>
      </c>
      <c r="H52" s="41">
        <f>-H25*dep_pct_revenue_y5</f>
        <v/>
      </c>
    </row>
    <row r="53">
      <c r="A53" s="4" t="inlineStr">
        <is>
          <t>EBIT</t>
        </is>
      </c>
      <c r="B53" s="2" t="inlineStr">
        <is>
          <t>(currency × unit)</t>
        </is>
      </c>
      <c r="C53" s="41">
        <f>IFERROR(ebit_y0,"")</f>
        <v/>
      </c>
      <c r="D53" s="41">
        <f>D50+D52</f>
        <v/>
      </c>
      <c r="E53" s="41">
        <f>E50+E52</f>
        <v/>
      </c>
      <c r="F53" s="41">
        <f>F50+F52</f>
        <v/>
      </c>
      <c r="G53" s="41">
        <f>G50+G52</f>
        <v/>
      </c>
      <c r="H53" s="41">
        <f>H50+H52</f>
        <v/>
      </c>
    </row>
    <row r="54">
      <c r="A54" s="4" t="inlineStr">
        <is>
          <t>EBIT margin</t>
        </is>
      </c>
      <c r="B54" s="2" t="inlineStr">
        <is>
          <t>%</t>
        </is>
      </c>
      <c r="C54">
        <f>IFERROR(ebit_y0/revenue_y0,"")</f>
        <v/>
      </c>
      <c r="D54" s="42">
        <f>IFERROR(D53/D25,0)</f>
        <v/>
      </c>
      <c r="E54" s="42">
        <f>IFERROR(E53/E25,0)</f>
        <v/>
      </c>
      <c r="F54" s="42">
        <f>IFERROR(F53/F25,0)</f>
        <v/>
      </c>
      <c r="G54" s="42">
        <f>IFERROR(G53/G25,0)</f>
        <v/>
      </c>
      <c r="H54" s="42">
        <f>IFERROR(H53/H25,0)</f>
        <v/>
      </c>
    </row>
    <row r="56">
      <c r="A56" s="3" t="inlineStr">
        <is>
          <t>Tax &amp; net income</t>
        </is>
      </c>
    </row>
    <row r="57">
      <c r="A57" s="4" t="inlineStr">
        <is>
          <t>Tax</t>
        </is>
      </c>
      <c r="B57" s="2" t="inlineStr">
        <is>
          <t>(currency × unit)</t>
        </is>
      </c>
      <c r="C57" s="41">
        <f>IFERROR(tax_y0,"")</f>
        <v/>
      </c>
      <c r="D57" s="41">
        <f>IF(ISNUMBER(tax_effective_rate),-MAX(D53,0)*tax_effective_rate,IF(EXACT(tax_type,"two_tier"),IF(D53&lt;=tax_threshold,-MAX(D53,0)*tax_rate_low,-(tax_threshold*tax_rate_low+MAX(D53-tax_threshold,0)*tax_rate_high)),-MAX(D53,0)*tax_rate_high))</f>
        <v/>
      </c>
      <c r="E57" s="41">
        <f>IF(ISNUMBER(tax_effective_rate),-MAX(E53,0)*tax_effective_rate,IF(EXACT(tax_type,"two_tier"),IF(E53&lt;=tax_threshold,-MAX(E53,0)*tax_rate_low,-(tax_threshold*tax_rate_low+MAX(E53-tax_threshold,0)*tax_rate_high)),-MAX(E53,0)*tax_rate_high))</f>
        <v/>
      </c>
      <c r="F57" s="41">
        <f>IF(ISNUMBER(tax_effective_rate),-MAX(F53,0)*tax_effective_rate,IF(EXACT(tax_type,"two_tier"),IF(F53&lt;=tax_threshold,-MAX(F53,0)*tax_rate_low,-(tax_threshold*tax_rate_low+MAX(F53-tax_threshold,0)*tax_rate_high)),-MAX(F53,0)*tax_rate_high))</f>
        <v/>
      </c>
      <c r="G57" s="41">
        <f>IF(ISNUMBER(tax_effective_rate),-MAX(G53,0)*tax_effective_rate,IF(EXACT(tax_type,"two_tier"),IF(G53&lt;=tax_threshold,-MAX(G53,0)*tax_rate_low,-(tax_threshold*tax_rate_low+MAX(G53-tax_threshold,0)*tax_rate_high)),-MAX(G53,0)*tax_rate_high))</f>
        <v/>
      </c>
      <c r="H57" s="41">
        <f>IF(ISNUMBER(tax_effective_rate),-MAX(H53,0)*tax_effective_rate,IF(EXACT(tax_type,"two_tier"),IF(H53&lt;=tax_threshold,-MAX(H53,0)*tax_rate_low,-(tax_threshold*tax_rate_low+MAX(H53-tax_threshold,0)*tax_rate_high)),-MAX(H53,0)*tax_rate_high))</f>
        <v/>
      </c>
    </row>
    <row r="58">
      <c r="A58" s="4" t="inlineStr">
        <is>
          <t>Net income</t>
        </is>
      </c>
      <c r="B58" s="2" t="inlineStr">
        <is>
          <t>(currency × unit)</t>
        </is>
      </c>
      <c r="C58" s="41">
        <f>IFERROR(net_income_y0,"")</f>
        <v/>
      </c>
      <c r="D58" s="41">
        <f>D53+D57</f>
        <v/>
      </c>
      <c r="E58" s="41">
        <f>E53+E57</f>
        <v/>
      </c>
      <c r="F58" s="41">
        <f>F53+F57</f>
        <v/>
      </c>
      <c r="G58" s="41">
        <f>G53+G57</f>
        <v/>
      </c>
      <c r="H58" s="41">
        <f>H53+H57</f>
        <v/>
      </c>
    </row>
    <row r="60">
      <c r="A60" s="3" t="inlineStr">
        <is>
          <t>Capex &amp; working capital</t>
        </is>
      </c>
    </row>
    <row r="61">
      <c r="A61" s="4" t="inlineStr">
        <is>
          <t>Capex</t>
        </is>
      </c>
      <c r="B61" s="2" t="inlineStr">
        <is>
          <t>(currency × unit)</t>
        </is>
      </c>
      <c r="C61" s="41" t="n"/>
      <c r="D61" s="41">
        <f>-D25*capex_pct_revenue_y1</f>
        <v/>
      </c>
      <c r="E61" s="41">
        <f>-E25*capex_pct_revenue_y2</f>
        <v/>
      </c>
      <c r="F61" s="41">
        <f>-F25*capex_pct_revenue_y3</f>
        <v/>
      </c>
      <c r="G61" s="41">
        <f>-G25*capex_pct_revenue_y4</f>
        <v/>
      </c>
      <c r="H61" s="41">
        <f>-H25*capex_pct_revenue_y5</f>
        <v/>
      </c>
    </row>
    <row r="62">
      <c r="A62" s="4" t="inlineStr">
        <is>
          <t>Net working capital</t>
        </is>
      </c>
      <c r="B62" s="2" t="inlineStr">
        <is>
          <t>(from Inputs)</t>
        </is>
      </c>
      <c r="C62" s="40">
        <f>nwc_y0</f>
        <v/>
      </c>
      <c r="D62" s="41">
        <f>D25*nwc_pct_sales_y1</f>
        <v/>
      </c>
      <c r="E62" s="41">
        <f>E25*nwc_pct_sales_y2</f>
        <v/>
      </c>
      <c r="F62" s="41">
        <f>F25*nwc_pct_sales_y3</f>
        <v/>
      </c>
      <c r="G62" s="41">
        <f>G25*nwc_pct_sales_y4</f>
        <v/>
      </c>
      <c r="H62" s="41">
        <f>H25*nwc_pct_sales_y5</f>
        <v/>
      </c>
    </row>
    <row r="63">
      <c r="A63" s="4" t="inlineStr">
        <is>
          <t>Δ Working capital</t>
        </is>
      </c>
      <c r="B63" s="2" t="inlineStr">
        <is>
          <t>(currency × unit)</t>
        </is>
      </c>
      <c r="C63" s="41" t="n"/>
      <c r="D63" s="41">
        <f>-(D62-C62)</f>
        <v/>
      </c>
      <c r="E63" s="41">
        <f>-(E62-D62)</f>
        <v/>
      </c>
      <c r="F63" s="41">
        <f>-(F62-E62)</f>
        <v/>
      </c>
      <c r="G63" s="41">
        <f>-(G62-F62)</f>
        <v/>
      </c>
      <c r="H63" s="41">
        <f>-(H62-G62)</f>
        <v/>
      </c>
    </row>
    <row r="65">
      <c r="A65" s="3" t="inlineStr">
        <is>
          <t>FCFF construction</t>
        </is>
      </c>
    </row>
    <row r="66">
      <c r="A66" s="4" t="inlineStr">
        <is>
          <t>EBIT</t>
        </is>
      </c>
      <c r="B66" s="2" t="inlineStr">
        <is>
          <t>(currency × unit)</t>
        </is>
      </c>
      <c r="C66" s="41" t="n"/>
      <c r="D66" s="41">
        <f>D53</f>
        <v/>
      </c>
      <c r="E66" s="41">
        <f>E53</f>
        <v/>
      </c>
      <c r="F66" s="41">
        <f>F53</f>
        <v/>
      </c>
      <c r="G66" s="41">
        <f>G53</f>
        <v/>
      </c>
      <c r="H66" s="41">
        <f>H53</f>
        <v/>
      </c>
    </row>
    <row r="67">
      <c r="A67" s="4" t="inlineStr">
        <is>
          <t>Less: Tax on EBIT</t>
        </is>
      </c>
      <c r="B67" s="2" t="inlineStr">
        <is>
          <t>(currency × unit)</t>
        </is>
      </c>
      <c r="C67" s="41" t="n"/>
      <c r="D67" s="41">
        <f>D57</f>
        <v/>
      </c>
      <c r="E67" s="41">
        <f>E57</f>
        <v/>
      </c>
      <c r="F67" s="41">
        <f>F57</f>
        <v/>
      </c>
      <c r="G67" s="41">
        <f>G57</f>
        <v/>
      </c>
      <c r="H67" s="41">
        <f>H57</f>
        <v/>
      </c>
    </row>
    <row r="68">
      <c r="A68" s="4" t="inlineStr">
        <is>
          <t>Add: Depreciation</t>
        </is>
      </c>
      <c r="B68" s="2" t="inlineStr">
        <is>
          <t>(currency × unit)</t>
        </is>
      </c>
      <c r="C68" s="41" t="n"/>
      <c r="D68" s="41">
        <f>-D52</f>
        <v/>
      </c>
      <c r="E68" s="41">
        <f>-E52</f>
        <v/>
      </c>
      <c r="F68" s="41">
        <f>-F52</f>
        <v/>
      </c>
      <c r="G68" s="41">
        <f>-G52</f>
        <v/>
      </c>
      <c r="H68" s="41">
        <f>-H52</f>
        <v/>
      </c>
    </row>
    <row r="69">
      <c r="A69" s="4" t="inlineStr">
        <is>
          <t>Less: Capex</t>
        </is>
      </c>
      <c r="B69" s="2" t="inlineStr">
        <is>
          <t>(currency × unit)</t>
        </is>
      </c>
      <c r="C69" s="41" t="n"/>
      <c r="D69" s="41">
        <f>D61</f>
        <v/>
      </c>
      <c r="E69" s="41">
        <f>E61</f>
        <v/>
      </c>
      <c r="F69" s="41">
        <f>F61</f>
        <v/>
      </c>
      <c r="G69" s="41">
        <f>G61</f>
        <v/>
      </c>
      <c r="H69" s="41">
        <f>H61</f>
        <v/>
      </c>
    </row>
    <row r="70">
      <c r="A70" s="4" t="inlineStr">
        <is>
          <t>Less: Δ Working capital</t>
        </is>
      </c>
      <c r="B70" s="2" t="inlineStr">
        <is>
          <t>(currency × unit)</t>
        </is>
      </c>
      <c r="C70" s="41" t="n"/>
      <c r="D70" s="41">
        <f>D63</f>
        <v/>
      </c>
      <c r="E70" s="41">
        <f>E63</f>
        <v/>
      </c>
      <c r="F70" s="41">
        <f>F63</f>
        <v/>
      </c>
      <c r="G70" s="41">
        <f>G63</f>
        <v/>
      </c>
      <c r="H70" s="41">
        <f>H63</f>
        <v/>
      </c>
    </row>
    <row r="71">
      <c r="A71" s="45" t="inlineStr">
        <is>
          <t>Free Cash Flow to Firm (FCFF)</t>
        </is>
      </c>
      <c r="B71" s="2" t="inlineStr">
        <is>
          <t>(currency × unit)</t>
        </is>
      </c>
      <c r="C71" s="41" t="n"/>
      <c r="D71" s="46">
        <f>SUM(D66:D70)</f>
        <v/>
      </c>
      <c r="E71" s="46">
        <f>SUM(E66:E70)</f>
        <v/>
      </c>
      <c r="F71" s="46">
        <f>SUM(F66:F70)</f>
        <v/>
      </c>
      <c r="G71" s="46">
        <f>SUM(G66:G70)</f>
        <v/>
      </c>
      <c r="H71" s="46">
        <f>SUM(H66:H70)</f>
        <v/>
      </c>
    </row>
    <row r="73">
      <c r="A73" s="3" t="inlineStr">
        <is>
          <t>Revenue streams — per-segment breakdown</t>
        </is>
      </c>
    </row>
    <row r="74">
      <c r="A74" s="2" t="inlineStr">
        <is>
          <t>Driven by the Inputs 'Revenue segments' table. Unused slots stay blank. 'Direct expenses' uses the stream's own Opex% when provided (carved out of the top-level opex base), otherwise an allocation at the top-level ratio.</t>
        </is>
      </c>
    </row>
    <row r="75">
      <c r="A75" s="4">
        <f>IF(INDEX(segments_table,1,1)="","(segment slot 1 — unused)","Revenue — "&amp;INDEX(segments_table,1,1))</f>
        <v/>
      </c>
      <c r="C75" s="41">
        <f>IF(INDEX(segments_table,1,1)="",0,IF(N(INDEX(segments_table,1,2))=0,N(INDEX(segments_table,1,3)),0))</f>
        <v/>
      </c>
      <c r="D75" s="41">
        <f>IF(INDEX(segments_table,1,1)="",0,IF(1&lt;N(INDEX(segments_table,1,2)),0,IF(1=N(INDEX(segments_table,1,2)),N(INDEX(segments_table,1,3)),C75*(1+N(INDEX(segments_table,1,3+(1-N(INDEX(segments_table,1,2)))))))))</f>
        <v/>
      </c>
      <c r="E75" s="41">
        <f>IF(INDEX(segments_table,1,1)="",0,IF(2&lt;N(INDEX(segments_table,1,2)),0,IF(2=N(INDEX(segments_table,1,2)),N(INDEX(segments_table,1,3)),D75*(1+N(INDEX(segments_table,1,3+(2-N(INDEX(segments_table,1,2)))))))))</f>
        <v/>
      </c>
      <c r="F75" s="41">
        <f>IF(INDEX(segments_table,1,1)="",0,IF(3&lt;N(INDEX(segments_table,1,2)),0,IF(3=N(INDEX(segments_table,1,2)),N(INDEX(segments_table,1,3)),E75*(1+N(INDEX(segments_table,1,3+(3-N(INDEX(segments_table,1,2)))))))))</f>
        <v/>
      </c>
      <c r="G75" s="41">
        <f>IF(INDEX(segments_table,1,1)="",0,IF(4&lt;N(INDEX(segments_table,1,2)),0,IF(4=N(INDEX(segments_table,1,2)),N(INDEX(segments_table,1,3)),F75*(1+N(INDEX(segments_table,1,3+(4-N(INDEX(segments_table,1,2)))))))))</f>
        <v/>
      </c>
      <c r="H75" s="41">
        <f>IF(INDEX(segments_table,1,1)="",0,IF(5&lt;N(INDEX(segments_table,1,2)),0,IF(5=N(INDEX(segments_table,1,2)),N(INDEX(segments_table,1,3)),G75*(1+N(INDEX(segments_table,1,3+(5-N(INDEX(segments_table,1,2)))))))))</f>
        <v/>
      </c>
    </row>
    <row r="76">
      <c r="A76" s="4">
        <f>IF(INDEX(segments_table,1,1)="","","COGS — "&amp;INDEX(segments_table,1,1))</f>
        <v/>
      </c>
      <c r="C76" s="41" t="n"/>
      <c r="D76" s="41">
        <f>IF(INDEX(segments_table,1,1)="","",-D75*(1-N(INDEX(segments_table,1,MIN(9+(1-N(INDEX(segments_table,1,2))),13)))))</f>
        <v/>
      </c>
      <c r="E76" s="41">
        <f>IF(INDEX(segments_table,1,1)="","",-E75*(1-N(INDEX(segments_table,1,MIN(9+(2-N(INDEX(segments_table,1,2))),13)))))</f>
        <v/>
      </c>
      <c r="F76" s="41">
        <f>IF(INDEX(segments_table,1,1)="","",-F75*(1-N(INDEX(segments_table,1,MIN(9+(3-N(INDEX(segments_table,1,2))),13)))))</f>
        <v/>
      </c>
      <c r="G76" s="41">
        <f>IF(INDEX(segments_table,1,1)="","",-G75*(1-N(INDEX(segments_table,1,MIN(9+(4-N(INDEX(segments_table,1,2))),13)))))</f>
        <v/>
      </c>
      <c r="H76" s="41">
        <f>IF(INDEX(segments_table,1,1)="","",-H75*(1-N(INDEX(segments_table,1,MIN(9+(5-N(INDEX(segments_table,1,2))),13)))))</f>
        <v/>
      </c>
    </row>
    <row r="77">
      <c r="A77" s="4">
        <f>IF(INDEX(segments_table,1,1)="","",IF(COUNT(INDEX(segments_table,1,14):INDEX(segments_table,1,18))&gt;0,"Direct expenses — "&amp;INDEX(segments_table,1,1),"Direct expenses (allocated) — "&amp;INDEX(segments_table,1,1)))</f>
        <v/>
      </c>
      <c r="C77" s="41" t="n"/>
      <c r="D77" s="41">
        <f>IF(INDEX(segments_table,1,1)="","",IF(COUNT(INDEX(segments_table,1,14):INDEX(segments_table,1,18))&gt;0,-D75*N(INDEX(segments_table,1,MIN(14+(1-N(INDEX(segments_table,1,2))),18))),-D75*opex_pct_revenue_y1))</f>
        <v/>
      </c>
      <c r="E77" s="41">
        <f>IF(INDEX(segments_table,1,1)="","",IF(COUNT(INDEX(segments_table,1,14):INDEX(segments_table,1,18))&gt;0,-E75*N(INDEX(segments_table,1,MIN(14+(2-N(INDEX(segments_table,1,2))),18))),-E75*opex_pct_revenue_y2))</f>
        <v/>
      </c>
      <c r="F77" s="41">
        <f>IF(INDEX(segments_table,1,1)="","",IF(COUNT(INDEX(segments_table,1,14):INDEX(segments_table,1,18))&gt;0,-F75*N(INDEX(segments_table,1,MIN(14+(3-N(INDEX(segments_table,1,2))),18))),-F75*opex_pct_revenue_y3))</f>
        <v/>
      </c>
      <c r="G77" s="41">
        <f>IF(INDEX(segments_table,1,1)="","",IF(COUNT(INDEX(segments_table,1,14):INDEX(segments_table,1,18))&gt;0,-G75*N(INDEX(segments_table,1,MIN(14+(4-N(INDEX(segments_table,1,2))),18))),-G75*opex_pct_revenue_y4))</f>
        <v/>
      </c>
      <c r="H77" s="41">
        <f>IF(INDEX(segments_table,1,1)="","",IF(COUNT(INDEX(segments_table,1,14):INDEX(segments_table,1,18))&gt;0,-H75*N(INDEX(segments_table,1,MIN(14+(5-N(INDEX(segments_table,1,2))),18))),-H75*opex_pct_revenue_y5))</f>
        <v/>
      </c>
    </row>
    <row r="79">
      <c r="A79" s="4">
        <f>IF(INDEX(segments_table,2,1)="","(segment slot 2 — unused)","Revenue — "&amp;INDEX(segments_table,2,1))</f>
        <v/>
      </c>
      <c r="C79" s="41">
        <f>IF(INDEX(segments_table,2,1)="",0,IF(N(INDEX(segments_table,2,2))=0,N(INDEX(segments_table,2,3)),0))</f>
        <v/>
      </c>
      <c r="D79" s="41">
        <f>IF(INDEX(segments_table,2,1)="",0,IF(1&lt;N(INDEX(segments_table,2,2)),0,IF(1=N(INDEX(segments_table,2,2)),N(INDEX(segments_table,2,3)),C79*(1+N(INDEX(segments_table,2,3+(1-N(INDEX(segments_table,2,2)))))))))</f>
        <v/>
      </c>
      <c r="E79" s="41">
        <f>IF(INDEX(segments_table,2,1)="",0,IF(2&lt;N(INDEX(segments_table,2,2)),0,IF(2=N(INDEX(segments_table,2,2)),N(INDEX(segments_table,2,3)),D79*(1+N(INDEX(segments_table,2,3+(2-N(INDEX(segments_table,2,2)))))))))</f>
        <v/>
      </c>
      <c r="F79" s="41">
        <f>IF(INDEX(segments_table,2,1)="",0,IF(3&lt;N(INDEX(segments_table,2,2)),0,IF(3=N(INDEX(segments_table,2,2)),N(INDEX(segments_table,2,3)),E79*(1+N(INDEX(segments_table,2,3+(3-N(INDEX(segments_table,2,2)))))))))</f>
        <v/>
      </c>
      <c r="G79" s="41">
        <f>IF(INDEX(segments_table,2,1)="",0,IF(4&lt;N(INDEX(segments_table,2,2)),0,IF(4=N(INDEX(segments_table,2,2)),N(INDEX(segments_table,2,3)),F79*(1+N(INDEX(segments_table,2,3+(4-N(INDEX(segments_table,2,2)))))))))</f>
        <v/>
      </c>
      <c r="H79" s="41">
        <f>IF(INDEX(segments_table,2,1)="",0,IF(5&lt;N(INDEX(segments_table,2,2)),0,IF(5=N(INDEX(segments_table,2,2)),N(INDEX(segments_table,2,3)),G79*(1+N(INDEX(segments_table,2,3+(5-N(INDEX(segments_table,2,2)))))))))</f>
        <v/>
      </c>
    </row>
    <row r="80">
      <c r="A80" s="4">
        <f>IF(INDEX(segments_table,2,1)="","","COGS — "&amp;INDEX(segments_table,2,1))</f>
        <v/>
      </c>
      <c r="C80" s="41" t="n"/>
      <c r="D80" s="41">
        <f>IF(INDEX(segments_table,2,1)="","",-D79*(1-N(INDEX(segments_table,2,MIN(9+(1-N(INDEX(segments_table,2,2))),13)))))</f>
        <v/>
      </c>
      <c r="E80" s="41">
        <f>IF(INDEX(segments_table,2,1)="","",-E79*(1-N(INDEX(segments_table,2,MIN(9+(2-N(INDEX(segments_table,2,2))),13)))))</f>
        <v/>
      </c>
      <c r="F80" s="41">
        <f>IF(INDEX(segments_table,2,1)="","",-F79*(1-N(INDEX(segments_table,2,MIN(9+(3-N(INDEX(segments_table,2,2))),13)))))</f>
        <v/>
      </c>
      <c r="G80" s="41">
        <f>IF(INDEX(segments_table,2,1)="","",-G79*(1-N(INDEX(segments_table,2,MIN(9+(4-N(INDEX(segments_table,2,2))),13)))))</f>
        <v/>
      </c>
      <c r="H80" s="41">
        <f>IF(INDEX(segments_table,2,1)="","",-H79*(1-N(INDEX(segments_table,2,MIN(9+(5-N(INDEX(segments_table,2,2))),13)))))</f>
        <v/>
      </c>
    </row>
    <row r="81">
      <c r="A81" s="4">
        <f>IF(INDEX(segments_table,2,1)="","",IF(COUNT(INDEX(segments_table,2,14):INDEX(segments_table,2,18))&gt;0,"Direct expenses — "&amp;INDEX(segments_table,2,1),"Direct expenses (allocated) — "&amp;INDEX(segments_table,2,1)))</f>
        <v/>
      </c>
      <c r="C81" s="41" t="n"/>
      <c r="D81" s="41">
        <f>IF(INDEX(segments_table,2,1)="","",IF(COUNT(INDEX(segments_table,2,14):INDEX(segments_table,2,18))&gt;0,-D79*N(INDEX(segments_table,2,MIN(14+(1-N(INDEX(segments_table,2,2))),18))),-D79*opex_pct_revenue_y1))</f>
        <v/>
      </c>
      <c r="E81" s="41">
        <f>IF(INDEX(segments_table,2,1)="","",IF(COUNT(INDEX(segments_table,2,14):INDEX(segments_table,2,18))&gt;0,-E79*N(INDEX(segments_table,2,MIN(14+(2-N(INDEX(segments_table,2,2))),18))),-E79*opex_pct_revenue_y2))</f>
        <v/>
      </c>
      <c r="F81" s="41">
        <f>IF(INDEX(segments_table,2,1)="","",IF(COUNT(INDEX(segments_table,2,14):INDEX(segments_table,2,18))&gt;0,-F79*N(INDEX(segments_table,2,MIN(14+(3-N(INDEX(segments_table,2,2))),18))),-F79*opex_pct_revenue_y3))</f>
        <v/>
      </c>
      <c r="G81" s="41">
        <f>IF(INDEX(segments_table,2,1)="","",IF(COUNT(INDEX(segments_table,2,14):INDEX(segments_table,2,18))&gt;0,-G79*N(INDEX(segments_table,2,MIN(14+(4-N(INDEX(segments_table,2,2))),18))),-G79*opex_pct_revenue_y4))</f>
        <v/>
      </c>
      <c r="H81" s="41">
        <f>IF(INDEX(segments_table,2,1)="","",IF(COUNT(INDEX(segments_table,2,14):INDEX(segments_table,2,18))&gt;0,-H79*N(INDEX(segments_table,2,MIN(14+(5-N(INDEX(segments_table,2,2))),18))),-H79*opex_pct_revenue_y5))</f>
        <v/>
      </c>
    </row>
    <row r="83">
      <c r="A83" s="4">
        <f>IF(INDEX(segments_table,3,1)="","(segment slot 3 — unused)","Revenue — "&amp;INDEX(segments_table,3,1))</f>
        <v/>
      </c>
      <c r="C83" s="41">
        <f>IF(INDEX(segments_table,3,1)="",0,IF(N(INDEX(segments_table,3,2))=0,N(INDEX(segments_table,3,3)),0))</f>
        <v/>
      </c>
      <c r="D83" s="41">
        <f>IF(INDEX(segments_table,3,1)="",0,IF(1&lt;N(INDEX(segments_table,3,2)),0,IF(1=N(INDEX(segments_table,3,2)),N(INDEX(segments_table,3,3)),C83*(1+N(INDEX(segments_table,3,3+(1-N(INDEX(segments_table,3,2)))))))))</f>
        <v/>
      </c>
      <c r="E83" s="41">
        <f>IF(INDEX(segments_table,3,1)="",0,IF(2&lt;N(INDEX(segments_table,3,2)),0,IF(2=N(INDEX(segments_table,3,2)),N(INDEX(segments_table,3,3)),D83*(1+N(INDEX(segments_table,3,3+(2-N(INDEX(segments_table,3,2)))))))))</f>
        <v/>
      </c>
      <c r="F83" s="41">
        <f>IF(INDEX(segments_table,3,1)="",0,IF(3&lt;N(INDEX(segments_table,3,2)),0,IF(3=N(INDEX(segments_table,3,2)),N(INDEX(segments_table,3,3)),E83*(1+N(INDEX(segments_table,3,3+(3-N(INDEX(segments_table,3,2)))))))))</f>
        <v/>
      </c>
      <c r="G83" s="41">
        <f>IF(INDEX(segments_table,3,1)="",0,IF(4&lt;N(INDEX(segments_table,3,2)),0,IF(4=N(INDEX(segments_table,3,2)),N(INDEX(segments_table,3,3)),F83*(1+N(INDEX(segments_table,3,3+(4-N(INDEX(segments_table,3,2)))))))))</f>
        <v/>
      </c>
      <c r="H83" s="41">
        <f>IF(INDEX(segments_table,3,1)="",0,IF(5&lt;N(INDEX(segments_table,3,2)),0,IF(5=N(INDEX(segments_table,3,2)),N(INDEX(segments_table,3,3)),G83*(1+N(INDEX(segments_table,3,3+(5-N(INDEX(segments_table,3,2)))))))))</f>
        <v/>
      </c>
    </row>
    <row r="84">
      <c r="A84" s="4">
        <f>IF(INDEX(segments_table,3,1)="","","COGS — "&amp;INDEX(segments_table,3,1))</f>
        <v/>
      </c>
      <c r="C84" s="41" t="n"/>
      <c r="D84" s="41">
        <f>IF(INDEX(segments_table,3,1)="","",-D83*(1-N(INDEX(segments_table,3,MIN(9+(1-N(INDEX(segments_table,3,2))),13)))))</f>
        <v/>
      </c>
      <c r="E84" s="41">
        <f>IF(INDEX(segments_table,3,1)="","",-E83*(1-N(INDEX(segments_table,3,MIN(9+(2-N(INDEX(segments_table,3,2))),13)))))</f>
        <v/>
      </c>
      <c r="F84" s="41">
        <f>IF(INDEX(segments_table,3,1)="","",-F83*(1-N(INDEX(segments_table,3,MIN(9+(3-N(INDEX(segments_table,3,2))),13)))))</f>
        <v/>
      </c>
      <c r="G84" s="41">
        <f>IF(INDEX(segments_table,3,1)="","",-G83*(1-N(INDEX(segments_table,3,MIN(9+(4-N(INDEX(segments_table,3,2))),13)))))</f>
        <v/>
      </c>
      <c r="H84" s="41">
        <f>IF(INDEX(segments_table,3,1)="","",-H83*(1-N(INDEX(segments_table,3,MIN(9+(5-N(INDEX(segments_table,3,2))),13)))))</f>
        <v/>
      </c>
    </row>
    <row r="85">
      <c r="A85" s="4">
        <f>IF(INDEX(segments_table,3,1)="","",IF(COUNT(INDEX(segments_table,3,14):INDEX(segments_table,3,18))&gt;0,"Direct expenses — "&amp;INDEX(segments_table,3,1),"Direct expenses (allocated) — "&amp;INDEX(segments_table,3,1)))</f>
        <v/>
      </c>
      <c r="C85" s="41" t="n"/>
      <c r="D85" s="41">
        <f>IF(INDEX(segments_table,3,1)="","",IF(COUNT(INDEX(segments_table,3,14):INDEX(segments_table,3,18))&gt;0,-D83*N(INDEX(segments_table,3,MIN(14+(1-N(INDEX(segments_table,3,2))),18))),-D83*opex_pct_revenue_y1))</f>
        <v/>
      </c>
      <c r="E85" s="41">
        <f>IF(INDEX(segments_table,3,1)="","",IF(COUNT(INDEX(segments_table,3,14):INDEX(segments_table,3,18))&gt;0,-E83*N(INDEX(segments_table,3,MIN(14+(2-N(INDEX(segments_table,3,2))),18))),-E83*opex_pct_revenue_y2))</f>
        <v/>
      </c>
      <c r="F85" s="41">
        <f>IF(INDEX(segments_table,3,1)="","",IF(COUNT(INDEX(segments_table,3,14):INDEX(segments_table,3,18))&gt;0,-F83*N(INDEX(segments_table,3,MIN(14+(3-N(INDEX(segments_table,3,2))),18))),-F83*opex_pct_revenue_y3))</f>
        <v/>
      </c>
      <c r="G85" s="41">
        <f>IF(INDEX(segments_table,3,1)="","",IF(COUNT(INDEX(segments_table,3,14):INDEX(segments_table,3,18))&gt;0,-G83*N(INDEX(segments_table,3,MIN(14+(4-N(INDEX(segments_table,3,2))),18))),-G83*opex_pct_revenue_y4))</f>
        <v/>
      </c>
      <c r="H85" s="41">
        <f>IF(INDEX(segments_table,3,1)="","",IF(COUNT(INDEX(segments_table,3,14):INDEX(segments_table,3,18))&gt;0,-H83*N(INDEX(segments_table,3,MIN(14+(5-N(INDEX(segments_table,3,2))),18))),-H83*opex_pct_revenue_y5))</f>
        <v/>
      </c>
    </row>
    <row r="87">
      <c r="A87" s="4">
        <f>IF(INDEX(segments_table,4,1)="","(segment slot 4 — unused)","Revenue — "&amp;INDEX(segments_table,4,1))</f>
        <v/>
      </c>
      <c r="C87" s="41">
        <f>IF(INDEX(segments_table,4,1)="",0,IF(N(INDEX(segments_table,4,2))=0,N(INDEX(segments_table,4,3)),0))</f>
        <v/>
      </c>
      <c r="D87" s="41">
        <f>IF(INDEX(segments_table,4,1)="",0,IF(1&lt;N(INDEX(segments_table,4,2)),0,IF(1=N(INDEX(segments_table,4,2)),N(INDEX(segments_table,4,3)),C87*(1+N(INDEX(segments_table,4,3+(1-N(INDEX(segments_table,4,2)))))))))</f>
        <v/>
      </c>
      <c r="E87" s="41">
        <f>IF(INDEX(segments_table,4,1)="",0,IF(2&lt;N(INDEX(segments_table,4,2)),0,IF(2=N(INDEX(segments_table,4,2)),N(INDEX(segments_table,4,3)),D87*(1+N(INDEX(segments_table,4,3+(2-N(INDEX(segments_table,4,2)))))))))</f>
        <v/>
      </c>
      <c r="F87" s="41">
        <f>IF(INDEX(segments_table,4,1)="",0,IF(3&lt;N(INDEX(segments_table,4,2)),0,IF(3=N(INDEX(segments_table,4,2)),N(INDEX(segments_table,4,3)),E87*(1+N(INDEX(segments_table,4,3+(3-N(INDEX(segments_table,4,2)))))))))</f>
        <v/>
      </c>
      <c r="G87" s="41">
        <f>IF(INDEX(segments_table,4,1)="",0,IF(4&lt;N(INDEX(segments_table,4,2)),0,IF(4=N(INDEX(segments_table,4,2)),N(INDEX(segments_table,4,3)),F87*(1+N(INDEX(segments_table,4,3+(4-N(INDEX(segments_table,4,2)))))))))</f>
        <v/>
      </c>
      <c r="H87" s="41">
        <f>IF(INDEX(segments_table,4,1)="",0,IF(5&lt;N(INDEX(segments_table,4,2)),0,IF(5=N(INDEX(segments_table,4,2)),N(INDEX(segments_table,4,3)),G87*(1+N(INDEX(segments_table,4,3+(5-N(INDEX(segments_table,4,2)))))))))</f>
        <v/>
      </c>
    </row>
    <row r="88">
      <c r="A88" s="4">
        <f>IF(INDEX(segments_table,4,1)="","","COGS — "&amp;INDEX(segments_table,4,1))</f>
        <v/>
      </c>
      <c r="C88" s="41" t="n"/>
      <c r="D88" s="41">
        <f>IF(INDEX(segments_table,4,1)="","",-D87*(1-N(INDEX(segments_table,4,MIN(9+(1-N(INDEX(segments_table,4,2))),13)))))</f>
        <v/>
      </c>
      <c r="E88" s="41">
        <f>IF(INDEX(segments_table,4,1)="","",-E87*(1-N(INDEX(segments_table,4,MIN(9+(2-N(INDEX(segments_table,4,2))),13)))))</f>
        <v/>
      </c>
      <c r="F88" s="41">
        <f>IF(INDEX(segments_table,4,1)="","",-F87*(1-N(INDEX(segments_table,4,MIN(9+(3-N(INDEX(segments_table,4,2))),13)))))</f>
        <v/>
      </c>
      <c r="G88" s="41">
        <f>IF(INDEX(segments_table,4,1)="","",-G87*(1-N(INDEX(segments_table,4,MIN(9+(4-N(INDEX(segments_table,4,2))),13)))))</f>
        <v/>
      </c>
      <c r="H88" s="41">
        <f>IF(INDEX(segments_table,4,1)="","",-H87*(1-N(INDEX(segments_table,4,MIN(9+(5-N(INDEX(segments_table,4,2))),13)))))</f>
        <v/>
      </c>
    </row>
    <row r="89">
      <c r="A89" s="4">
        <f>IF(INDEX(segments_table,4,1)="","",IF(COUNT(INDEX(segments_table,4,14):INDEX(segments_table,4,18))&gt;0,"Direct expenses — "&amp;INDEX(segments_table,4,1),"Direct expenses (allocated) — "&amp;INDEX(segments_table,4,1)))</f>
        <v/>
      </c>
      <c r="C89" s="41" t="n"/>
      <c r="D89" s="41">
        <f>IF(INDEX(segments_table,4,1)="","",IF(COUNT(INDEX(segments_table,4,14):INDEX(segments_table,4,18))&gt;0,-D87*N(INDEX(segments_table,4,MIN(14+(1-N(INDEX(segments_table,4,2))),18))),-D87*opex_pct_revenue_y1))</f>
        <v/>
      </c>
      <c r="E89" s="41">
        <f>IF(INDEX(segments_table,4,1)="","",IF(COUNT(INDEX(segments_table,4,14):INDEX(segments_table,4,18))&gt;0,-E87*N(INDEX(segments_table,4,MIN(14+(2-N(INDEX(segments_table,4,2))),18))),-E87*opex_pct_revenue_y2))</f>
        <v/>
      </c>
      <c r="F89" s="41">
        <f>IF(INDEX(segments_table,4,1)="","",IF(COUNT(INDEX(segments_table,4,14):INDEX(segments_table,4,18))&gt;0,-F87*N(INDEX(segments_table,4,MIN(14+(3-N(INDEX(segments_table,4,2))),18))),-F87*opex_pct_revenue_y3))</f>
        <v/>
      </c>
      <c r="G89" s="41">
        <f>IF(INDEX(segments_table,4,1)="","",IF(COUNT(INDEX(segments_table,4,14):INDEX(segments_table,4,18))&gt;0,-G87*N(INDEX(segments_table,4,MIN(14+(4-N(INDEX(segments_table,4,2))),18))),-G87*opex_pct_revenue_y4))</f>
        <v/>
      </c>
      <c r="H89" s="41">
        <f>IF(INDEX(segments_table,4,1)="","",IF(COUNT(INDEX(segments_table,4,14):INDEX(segments_table,4,18))&gt;0,-H87*N(INDEX(segments_table,4,MIN(14+(5-N(INDEX(segments_table,4,2))),18))),-H87*opex_pct_revenue_y5))</f>
        <v/>
      </c>
    </row>
    <row r="91">
      <c r="A91" s="4">
        <f>IF(INDEX(segments_table,5,1)="","(segment slot 5 — unused)","Revenue — "&amp;INDEX(segments_table,5,1))</f>
        <v/>
      </c>
      <c r="C91" s="41">
        <f>IF(INDEX(segments_table,5,1)="",0,IF(N(INDEX(segments_table,5,2))=0,N(INDEX(segments_table,5,3)),0))</f>
        <v/>
      </c>
      <c r="D91" s="41">
        <f>IF(INDEX(segments_table,5,1)="",0,IF(1&lt;N(INDEX(segments_table,5,2)),0,IF(1=N(INDEX(segments_table,5,2)),N(INDEX(segments_table,5,3)),C91*(1+N(INDEX(segments_table,5,3+(1-N(INDEX(segments_table,5,2)))))))))</f>
        <v/>
      </c>
      <c r="E91" s="41">
        <f>IF(INDEX(segments_table,5,1)="",0,IF(2&lt;N(INDEX(segments_table,5,2)),0,IF(2=N(INDEX(segments_table,5,2)),N(INDEX(segments_table,5,3)),D91*(1+N(INDEX(segments_table,5,3+(2-N(INDEX(segments_table,5,2)))))))))</f>
        <v/>
      </c>
      <c r="F91" s="41">
        <f>IF(INDEX(segments_table,5,1)="",0,IF(3&lt;N(INDEX(segments_table,5,2)),0,IF(3=N(INDEX(segments_table,5,2)),N(INDEX(segments_table,5,3)),E91*(1+N(INDEX(segments_table,5,3+(3-N(INDEX(segments_table,5,2)))))))))</f>
        <v/>
      </c>
      <c r="G91" s="41">
        <f>IF(INDEX(segments_table,5,1)="",0,IF(4&lt;N(INDEX(segments_table,5,2)),0,IF(4=N(INDEX(segments_table,5,2)),N(INDEX(segments_table,5,3)),F91*(1+N(INDEX(segments_table,5,3+(4-N(INDEX(segments_table,5,2)))))))))</f>
        <v/>
      </c>
      <c r="H91" s="41">
        <f>IF(INDEX(segments_table,5,1)="",0,IF(5&lt;N(INDEX(segments_table,5,2)),0,IF(5=N(INDEX(segments_table,5,2)),N(INDEX(segments_table,5,3)),G91*(1+N(INDEX(segments_table,5,3+(5-N(INDEX(segments_table,5,2)))))))))</f>
        <v/>
      </c>
    </row>
    <row r="92">
      <c r="A92" s="4">
        <f>IF(INDEX(segments_table,5,1)="","","COGS — "&amp;INDEX(segments_table,5,1))</f>
        <v/>
      </c>
      <c r="C92" s="41" t="n"/>
      <c r="D92" s="41">
        <f>IF(INDEX(segments_table,5,1)="","",-D91*(1-N(INDEX(segments_table,5,MIN(9+(1-N(INDEX(segments_table,5,2))),13)))))</f>
        <v/>
      </c>
      <c r="E92" s="41">
        <f>IF(INDEX(segments_table,5,1)="","",-E91*(1-N(INDEX(segments_table,5,MIN(9+(2-N(INDEX(segments_table,5,2))),13)))))</f>
        <v/>
      </c>
      <c r="F92" s="41">
        <f>IF(INDEX(segments_table,5,1)="","",-F91*(1-N(INDEX(segments_table,5,MIN(9+(3-N(INDEX(segments_table,5,2))),13)))))</f>
        <v/>
      </c>
      <c r="G92" s="41">
        <f>IF(INDEX(segments_table,5,1)="","",-G91*(1-N(INDEX(segments_table,5,MIN(9+(4-N(INDEX(segments_table,5,2))),13)))))</f>
        <v/>
      </c>
      <c r="H92" s="41">
        <f>IF(INDEX(segments_table,5,1)="","",-H91*(1-N(INDEX(segments_table,5,MIN(9+(5-N(INDEX(segments_table,5,2))),13)))))</f>
        <v/>
      </c>
    </row>
    <row r="93">
      <c r="A93" s="4">
        <f>IF(INDEX(segments_table,5,1)="","",IF(COUNT(INDEX(segments_table,5,14):INDEX(segments_table,5,18))&gt;0,"Direct expenses — "&amp;INDEX(segments_table,5,1),"Direct expenses (allocated) — "&amp;INDEX(segments_table,5,1)))</f>
        <v/>
      </c>
      <c r="C93" s="41" t="n"/>
      <c r="D93" s="41">
        <f>IF(INDEX(segments_table,5,1)="","",IF(COUNT(INDEX(segments_table,5,14):INDEX(segments_table,5,18))&gt;0,-D91*N(INDEX(segments_table,5,MIN(14+(1-N(INDEX(segments_table,5,2))),18))),-D91*opex_pct_revenue_y1))</f>
        <v/>
      </c>
      <c r="E93" s="41">
        <f>IF(INDEX(segments_table,5,1)="","",IF(COUNT(INDEX(segments_table,5,14):INDEX(segments_table,5,18))&gt;0,-E91*N(INDEX(segments_table,5,MIN(14+(2-N(INDEX(segments_table,5,2))),18))),-E91*opex_pct_revenue_y2))</f>
        <v/>
      </c>
      <c r="F93" s="41">
        <f>IF(INDEX(segments_table,5,1)="","",IF(COUNT(INDEX(segments_table,5,14):INDEX(segments_table,5,18))&gt;0,-F91*N(INDEX(segments_table,5,MIN(14+(3-N(INDEX(segments_table,5,2))),18))),-F91*opex_pct_revenue_y3))</f>
        <v/>
      </c>
      <c r="G93" s="41">
        <f>IF(INDEX(segments_table,5,1)="","",IF(COUNT(INDEX(segments_table,5,14):INDEX(segments_table,5,18))&gt;0,-G91*N(INDEX(segments_table,5,MIN(14+(4-N(INDEX(segments_table,5,2))),18))),-G91*opex_pct_revenue_y4))</f>
        <v/>
      </c>
      <c r="H93" s="41">
        <f>IF(INDEX(segments_table,5,1)="","",IF(COUNT(INDEX(segments_table,5,14):INDEX(segments_table,5,18))&gt;0,-H91*N(INDEX(segments_table,5,MIN(14+(5-N(INDEX(segments_table,5,2))),18))),-H91*opex_pct_revenue_y5))</f>
        <v/>
      </c>
    </row>
    <row r="95">
      <c r="A95" s="4">
        <f>IF(INDEX(segments_table,6,1)="","(segment slot 6 — unused)","Revenue — "&amp;INDEX(segments_table,6,1))</f>
        <v/>
      </c>
      <c r="C95" s="41">
        <f>IF(INDEX(segments_table,6,1)="",0,IF(N(INDEX(segments_table,6,2))=0,N(INDEX(segments_table,6,3)),0))</f>
        <v/>
      </c>
      <c r="D95" s="41">
        <f>IF(INDEX(segments_table,6,1)="",0,IF(1&lt;N(INDEX(segments_table,6,2)),0,IF(1=N(INDEX(segments_table,6,2)),N(INDEX(segments_table,6,3)),C95*(1+N(INDEX(segments_table,6,3+(1-N(INDEX(segments_table,6,2)))))))))</f>
        <v/>
      </c>
      <c r="E95" s="41">
        <f>IF(INDEX(segments_table,6,1)="",0,IF(2&lt;N(INDEX(segments_table,6,2)),0,IF(2=N(INDEX(segments_table,6,2)),N(INDEX(segments_table,6,3)),D95*(1+N(INDEX(segments_table,6,3+(2-N(INDEX(segments_table,6,2)))))))))</f>
        <v/>
      </c>
      <c r="F95" s="41">
        <f>IF(INDEX(segments_table,6,1)="",0,IF(3&lt;N(INDEX(segments_table,6,2)),0,IF(3=N(INDEX(segments_table,6,2)),N(INDEX(segments_table,6,3)),E95*(1+N(INDEX(segments_table,6,3+(3-N(INDEX(segments_table,6,2)))))))))</f>
        <v/>
      </c>
      <c r="G95" s="41">
        <f>IF(INDEX(segments_table,6,1)="",0,IF(4&lt;N(INDEX(segments_table,6,2)),0,IF(4=N(INDEX(segments_table,6,2)),N(INDEX(segments_table,6,3)),F95*(1+N(INDEX(segments_table,6,3+(4-N(INDEX(segments_table,6,2)))))))))</f>
        <v/>
      </c>
      <c r="H95" s="41">
        <f>IF(INDEX(segments_table,6,1)="",0,IF(5&lt;N(INDEX(segments_table,6,2)),0,IF(5=N(INDEX(segments_table,6,2)),N(INDEX(segments_table,6,3)),G95*(1+N(INDEX(segments_table,6,3+(5-N(INDEX(segments_table,6,2)))))))))</f>
        <v/>
      </c>
    </row>
    <row r="96">
      <c r="A96" s="4">
        <f>IF(INDEX(segments_table,6,1)="","","COGS — "&amp;INDEX(segments_table,6,1))</f>
        <v/>
      </c>
      <c r="C96" s="41" t="n"/>
      <c r="D96" s="41">
        <f>IF(INDEX(segments_table,6,1)="","",-D95*(1-N(INDEX(segments_table,6,MIN(9+(1-N(INDEX(segments_table,6,2))),13)))))</f>
        <v/>
      </c>
      <c r="E96" s="41">
        <f>IF(INDEX(segments_table,6,1)="","",-E95*(1-N(INDEX(segments_table,6,MIN(9+(2-N(INDEX(segments_table,6,2))),13)))))</f>
        <v/>
      </c>
      <c r="F96" s="41">
        <f>IF(INDEX(segments_table,6,1)="","",-F95*(1-N(INDEX(segments_table,6,MIN(9+(3-N(INDEX(segments_table,6,2))),13)))))</f>
        <v/>
      </c>
      <c r="G96" s="41">
        <f>IF(INDEX(segments_table,6,1)="","",-G95*(1-N(INDEX(segments_table,6,MIN(9+(4-N(INDEX(segments_table,6,2))),13)))))</f>
        <v/>
      </c>
      <c r="H96" s="41">
        <f>IF(INDEX(segments_table,6,1)="","",-H95*(1-N(INDEX(segments_table,6,MIN(9+(5-N(INDEX(segments_table,6,2))),13)))))</f>
        <v/>
      </c>
    </row>
    <row r="97">
      <c r="A97" s="4">
        <f>IF(INDEX(segments_table,6,1)="","",IF(COUNT(INDEX(segments_table,6,14):INDEX(segments_table,6,18))&gt;0,"Direct expenses — "&amp;INDEX(segments_table,6,1),"Direct expenses (allocated) — "&amp;INDEX(segments_table,6,1)))</f>
        <v/>
      </c>
      <c r="C97" s="41" t="n"/>
      <c r="D97" s="41">
        <f>IF(INDEX(segments_table,6,1)="","",IF(COUNT(INDEX(segments_table,6,14):INDEX(segments_table,6,18))&gt;0,-D95*N(INDEX(segments_table,6,MIN(14+(1-N(INDEX(segments_table,6,2))),18))),-D95*opex_pct_revenue_y1))</f>
        <v/>
      </c>
      <c r="E97" s="41">
        <f>IF(INDEX(segments_table,6,1)="","",IF(COUNT(INDEX(segments_table,6,14):INDEX(segments_table,6,18))&gt;0,-E95*N(INDEX(segments_table,6,MIN(14+(2-N(INDEX(segments_table,6,2))),18))),-E95*opex_pct_revenue_y2))</f>
        <v/>
      </c>
      <c r="F97" s="41">
        <f>IF(INDEX(segments_table,6,1)="","",IF(COUNT(INDEX(segments_table,6,14):INDEX(segments_table,6,18))&gt;0,-F95*N(INDEX(segments_table,6,MIN(14+(3-N(INDEX(segments_table,6,2))),18))),-F95*opex_pct_revenue_y3))</f>
        <v/>
      </c>
      <c r="G97" s="41">
        <f>IF(INDEX(segments_table,6,1)="","",IF(COUNT(INDEX(segments_table,6,14):INDEX(segments_table,6,18))&gt;0,-G95*N(INDEX(segments_table,6,MIN(14+(4-N(INDEX(segments_table,6,2))),18))),-G95*opex_pct_revenue_y4))</f>
        <v/>
      </c>
      <c r="H97" s="41">
        <f>IF(INDEX(segments_table,6,1)="","",IF(COUNT(INDEX(segments_table,6,14):INDEX(segments_table,6,18))&gt;0,-H95*N(INDEX(segments_table,6,MIN(14+(5-N(INDEX(segments_table,6,2))),18))),-H95*opex_pct_revenue_y5))</f>
        <v/>
      </c>
    </row>
    <row r="99">
      <c r="A99" s="4">
        <f>IF(INDEX(segments_table,7,1)="","(segment slot 7 — unused)","Revenue — "&amp;INDEX(segments_table,7,1))</f>
        <v/>
      </c>
      <c r="C99" s="41">
        <f>IF(INDEX(segments_table,7,1)="",0,IF(N(INDEX(segments_table,7,2))=0,N(INDEX(segments_table,7,3)),0))</f>
        <v/>
      </c>
      <c r="D99" s="41">
        <f>IF(INDEX(segments_table,7,1)="",0,IF(1&lt;N(INDEX(segments_table,7,2)),0,IF(1=N(INDEX(segments_table,7,2)),N(INDEX(segments_table,7,3)),C99*(1+N(INDEX(segments_table,7,3+(1-N(INDEX(segments_table,7,2)))))))))</f>
        <v/>
      </c>
      <c r="E99" s="41">
        <f>IF(INDEX(segments_table,7,1)="",0,IF(2&lt;N(INDEX(segments_table,7,2)),0,IF(2=N(INDEX(segments_table,7,2)),N(INDEX(segments_table,7,3)),D99*(1+N(INDEX(segments_table,7,3+(2-N(INDEX(segments_table,7,2)))))))))</f>
        <v/>
      </c>
      <c r="F99" s="41">
        <f>IF(INDEX(segments_table,7,1)="",0,IF(3&lt;N(INDEX(segments_table,7,2)),0,IF(3=N(INDEX(segments_table,7,2)),N(INDEX(segments_table,7,3)),E99*(1+N(INDEX(segments_table,7,3+(3-N(INDEX(segments_table,7,2)))))))))</f>
        <v/>
      </c>
      <c r="G99" s="41">
        <f>IF(INDEX(segments_table,7,1)="",0,IF(4&lt;N(INDEX(segments_table,7,2)),0,IF(4=N(INDEX(segments_table,7,2)),N(INDEX(segments_table,7,3)),F99*(1+N(INDEX(segments_table,7,3+(4-N(INDEX(segments_table,7,2)))))))))</f>
        <v/>
      </c>
      <c r="H99" s="41">
        <f>IF(INDEX(segments_table,7,1)="",0,IF(5&lt;N(INDEX(segments_table,7,2)),0,IF(5=N(INDEX(segments_table,7,2)),N(INDEX(segments_table,7,3)),G99*(1+N(INDEX(segments_table,7,3+(5-N(INDEX(segments_table,7,2)))))))))</f>
        <v/>
      </c>
    </row>
    <row r="100">
      <c r="A100" s="4">
        <f>IF(INDEX(segments_table,7,1)="","","COGS — "&amp;INDEX(segments_table,7,1))</f>
        <v/>
      </c>
      <c r="C100" s="41" t="n"/>
      <c r="D100" s="41">
        <f>IF(INDEX(segments_table,7,1)="","",-D99*(1-N(INDEX(segments_table,7,MIN(9+(1-N(INDEX(segments_table,7,2))),13)))))</f>
        <v/>
      </c>
      <c r="E100" s="41">
        <f>IF(INDEX(segments_table,7,1)="","",-E99*(1-N(INDEX(segments_table,7,MIN(9+(2-N(INDEX(segments_table,7,2))),13)))))</f>
        <v/>
      </c>
      <c r="F100" s="41">
        <f>IF(INDEX(segments_table,7,1)="","",-F99*(1-N(INDEX(segments_table,7,MIN(9+(3-N(INDEX(segments_table,7,2))),13)))))</f>
        <v/>
      </c>
      <c r="G100" s="41">
        <f>IF(INDEX(segments_table,7,1)="","",-G99*(1-N(INDEX(segments_table,7,MIN(9+(4-N(INDEX(segments_table,7,2))),13)))))</f>
        <v/>
      </c>
      <c r="H100" s="41">
        <f>IF(INDEX(segments_table,7,1)="","",-H99*(1-N(INDEX(segments_table,7,MIN(9+(5-N(INDEX(segments_table,7,2))),13)))))</f>
        <v/>
      </c>
    </row>
    <row r="101">
      <c r="A101" s="4">
        <f>IF(INDEX(segments_table,7,1)="","",IF(COUNT(INDEX(segments_table,7,14):INDEX(segments_table,7,18))&gt;0,"Direct expenses — "&amp;INDEX(segments_table,7,1),"Direct expenses (allocated) — "&amp;INDEX(segments_table,7,1)))</f>
        <v/>
      </c>
      <c r="C101" s="41" t="n"/>
      <c r="D101" s="41">
        <f>IF(INDEX(segments_table,7,1)="","",IF(COUNT(INDEX(segments_table,7,14):INDEX(segments_table,7,18))&gt;0,-D99*N(INDEX(segments_table,7,MIN(14+(1-N(INDEX(segments_table,7,2))),18))),-D99*opex_pct_revenue_y1))</f>
        <v/>
      </c>
      <c r="E101" s="41">
        <f>IF(INDEX(segments_table,7,1)="","",IF(COUNT(INDEX(segments_table,7,14):INDEX(segments_table,7,18))&gt;0,-E99*N(INDEX(segments_table,7,MIN(14+(2-N(INDEX(segments_table,7,2))),18))),-E99*opex_pct_revenue_y2))</f>
        <v/>
      </c>
      <c r="F101" s="41">
        <f>IF(INDEX(segments_table,7,1)="","",IF(COUNT(INDEX(segments_table,7,14):INDEX(segments_table,7,18))&gt;0,-F99*N(INDEX(segments_table,7,MIN(14+(3-N(INDEX(segments_table,7,2))),18))),-F99*opex_pct_revenue_y3))</f>
        <v/>
      </c>
      <c r="G101" s="41">
        <f>IF(INDEX(segments_table,7,1)="","",IF(COUNT(INDEX(segments_table,7,14):INDEX(segments_table,7,18))&gt;0,-G99*N(INDEX(segments_table,7,MIN(14+(4-N(INDEX(segments_table,7,2))),18))),-G99*opex_pct_revenue_y4))</f>
        <v/>
      </c>
      <c r="H101" s="41">
        <f>IF(INDEX(segments_table,7,1)="","",IF(COUNT(INDEX(segments_table,7,14):INDEX(segments_table,7,18))&gt;0,-H99*N(INDEX(segments_table,7,MIN(14+(5-N(INDEX(segments_table,7,2))),18))),-H99*opex_pct_revenue_y5))</f>
        <v/>
      </c>
    </row>
    <row r="103">
      <c r="A103" s="4">
        <f>IF(INDEX(segments_table,8,1)="","(segment slot 8 — unused)","Revenue — "&amp;INDEX(segments_table,8,1))</f>
        <v/>
      </c>
      <c r="C103" s="41">
        <f>IF(INDEX(segments_table,8,1)="",0,IF(N(INDEX(segments_table,8,2))=0,N(INDEX(segments_table,8,3)),0))</f>
        <v/>
      </c>
      <c r="D103" s="41">
        <f>IF(INDEX(segments_table,8,1)="",0,IF(1&lt;N(INDEX(segments_table,8,2)),0,IF(1=N(INDEX(segments_table,8,2)),N(INDEX(segments_table,8,3)),C103*(1+N(INDEX(segments_table,8,3+(1-N(INDEX(segments_table,8,2)))))))))</f>
        <v/>
      </c>
      <c r="E103" s="41">
        <f>IF(INDEX(segments_table,8,1)="",0,IF(2&lt;N(INDEX(segments_table,8,2)),0,IF(2=N(INDEX(segments_table,8,2)),N(INDEX(segments_table,8,3)),D103*(1+N(INDEX(segments_table,8,3+(2-N(INDEX(segments_table,8,2)))))))))</f>
        <v/>
      </c>
      <c r="F103" s="41">
        <f>IF(INDEX(segments_table,8,1)="",0,IF(3&lt;N(INDEX(segments_table,8,2)),0,IF(3=N(INDEX(segments_table,8,2)),N(INDEX(segments_table,8,3)),E103*(1+N(INDEX(segments_table,8,3+(3-N(INDEX(segments_table,8,2)))))))))</f>
        <v/>
      </c>
      <c r="G103" s="41">
        <f>IF(INDEX(segments_table,8,1)="",0,IF(4&lt;N(INDEX(segments_table,8,2)),0,IF(4=N(INDEX(segments_table,8,2)),N(INDEX(segments_table,8,3)),F103*(1+N(INDEX(segments_table,8,3+(4-N(INDEX(segments_table,8,2)))))))))</f>
        <v/>
      </c>
      <c r="H103" s="41">
        <f>IF(INDEX(segments_table,8,1)="",0,IF(5&lt;N(INDEX(segments_table,8,2)),0,IF(5=N(INDEX(segments_table,8,2)),N(INDEX(segments_table,8,3)),G103*(1+N(INDEX(segments_table,8,3+(5-N(INDEX(segments_table,8,2)))))))))</f>
        <v/>
      </c>
    </row>
    <row r="104">
      <c r="A104" s="4">
        <f>IF(INDEX(segments_table,8,1)="","","COGS — "&amp;INDEX(segments_table,8,1))</f>
        <v/>
      </c>
      <c r="C104" s="41" t="n"/>
      <c r="D104" s="41">
        <f>IF(INDEX(segments_table,8,1)="","",-D103*(1-N(INDEX(segments_table,8,MIN(9+(1-N(INDEX(segments_table,8,2))),13)))))</f>
        <v/>
      </c>
      <c r="E104" s="41">
        <f>IF(INDEX(segments_table,8,1)="","",-E103*(1-N(INDEX(segments_table,8,MIN(9+(2-N(INDEX(segments_table,8,2))),13)))))</f>
        <v/>
      </c>
      <c r="F104" s="41">
        <f>IF(INDEX(segments_table,8,1)="","",-F103*(1-N(INDEX(segments_table,8,MIN(9+(3-N(INDEX(segments_table,8,2))),13)))))</f>
        <v/>
      </c>
      <c r="G104" s="41">
        <f>IF(INDEX(segments_table,8,1)="","",-G103*(1-N(INDEX(segments_table,8,MIN(9+(4-N(INDEX(segments_table,8,2))),13)))))</f>
        <v/>
      </c>
      <c r="H104" s="41">
        <f>IF(INDEX(segments_table,8,1)="","",-H103*(1-N(INDEX(segments_table,8,MIN(9+(5-N(INDEX(segments_table,8,2))),13)))))</f>
        <v/>
      </c>
    </row>
    <row r="105">
      <c r="A105" s="4">
        <f>IF(INDEX(segments_table,8,1)="","",IF(COUNT(INDEX(segments_table,8,14):INDEX(segments_table,8,18))&gt;0,"Direct expenses — "&amp;INDEX(segments_table,8,1),"Direct expenses (allocated) — "&amp;INDEX(segments_table,8,1)))</f>
        <v/>
      </c>
      <c r="C105" s="41" t="n"/>
      <c r="D105" s="41">
        <f>IF(INDEX(segments_table,8,1)="","",IF(COUNT(INDEX(segments_table,8,14):INDEX(segments_table,8,18))&gt;0,-D103*N(INDEX(segments_table,8,MIN(14+(1-N(INDEX(segments_table,8,2))),18))),-D103*opex_pct_revenue_y1))</f>
        <v/>
      </c>
      <c r="E105" s="41">
        <f>IF(INDEX(segments_table,8,1)="","",IF(COUNT(INDEX(segments_table,8,14):INDEX(segments_table,8,18))&gt;0,-E103*N(INDEX(segments_table,8,MIN(14+(2-N(INDEX(segments_table,8,2))),18))),-E103*opex_pct_revenue_y2))</f>
        <v/>
      </c>
      <c r="F105" s="41">
        <f>IF(INDEX(segments_table,8,1)="","",IF(COUNT(INDEX(segments_table,8,14):INDEX(segments_table,8,18))&gt;0,-F103*N(INDEX(segments_table,8,MIN(14+(3-N(INDEX(segments_table,8,2))),18))),-F103*opex_pct_revenue_y3))</f>
        <v/>
      </c>
      <c r="G105" s="41">
        <f>IF(INDEX(segments_table,8,1)="","",IF(COUNT(INDEX(segments_table,8,14):INDEX(segments_table,8,18))&gt;0,-G103*N(INDEX(segments_table,8,MIN(14+(4-N(INDEX(segments_table,8,2))),18))),-G103*opex_pct_revenue_y4))</f>
        <v/>
      </c>
      <c r="H105" s="41">
        <f>IF(INDEX(segments_table,8,1)="","",IF(COUNT(INDEX(segments_table,8,14):INDEX(segments_table,8,18))&gt;0,-H103*N(INDEX(segments_table,8,MIN(14+(5-N(INDEX(segments_table,8,2))),18))),-H103*opex_pct_revenue_y5))</f>
        <v/>
      </c>
    </row>
    <row r="107">
      <c r="A107" s="2" t="inlineStr">
        <is>
          <t>Carved-out revenue (streams with own Opex%)</t>
        </is>
      </c>
      <c r="C107" t="n">
        <v>0</v>
      </c>
      <c r="D107" s="41">
        <f>IF(COUNT(INDEX(segments_table,1,14):INDEX(segments_table,1,18))&gt;0,D75,0)+IF(COUNT(INDEX(segments_table,2,14):INDEX(segments_table,2,18))&gt;0,D79,0)+IF(COUNT(INDEX(segments_table,3,14):INDEX(segments_table,3,18))&gt;0,D83,0)+IF(COUNT(INDEX(segments_table,4,14):INDEX(segments_table,4,18))&gt;0,D87,0)+IF(COUNT(INDEX(segments_table,5,14):INDEX(segments_table,5,18))&gt;0,D91,0)+IF(COUNT(INDEX(segments_table,6,14):INDEX(segments_table,6,18))&gt;0,D95,0)+IF(COUNT(INDEX(segments_table,7,14):INDEX(segments_table,7,18))&gt;0,D99,0)+IF(COUNT(INDEX(segments_table,8,14):INDEX(segments_table,8,18))&gt;0,D103,0)</f>
        <v/>
      </c>
      <c r="E107" s="41">
        <f>IF(COUNT(INDEX(segments_table,1,14):INDEX(segments_table,1,18))&gt;0,E75,0)+IF(COUNT(INDEX(segments_table,2,14):INDEX(segments_table,2,18))&gt;0,E79,0)+IF(COUNT(INDEX(segments_table,3,14):INDEX(segments_table,3,18))&gt;0,E83,0)+IF(COUNT(INDEX(segments_table,4,14):INDEX(segments_table,4,18))&gt;0,E87,0)+IF(COUNT(INDEX(segments_table,5,14):INDEX(segments_table,5,18))&gt;0,E91,0)+IF(COUNT(INDEX(segments_table,6,14):INDEX(segments_table,6,18))&gt;0,E95,0)+IF(COUNT(INDEX(segments_table,7,14):INDEX(segments_table,7,18))&gt;0,E99,0)+IF(COUNT(INDEX(segments_table,8,14):INDEX(segments_table,8,18))&gt;0,E103,0)</f>
        <v/>
      </c>
      <c r="F107" s="41">
        <f>IF(COUNT(INDEX(segments_table,1,14):INDEX(segments_table,1,18))&gt;0,F75,0)+IF(COUNT(INDEX(segments_table,2,14):INDEX(segments_table,2,18))&gt;0,F79,0)+IF(COUNT(INDEX(segments_table,3,14):INDEX(segments_table,3,18))&gt;0,F83,0)+IF(COUNT(INDEX(segments_table,4,14):INDEX(segments_table,4,18))&gt;0,F87,0)+IF(COUNT(INDEX(segments_table,5,14):INDEX(segments_table,5,18))&gt;0,F91,0)+IF(COUNT(INDEX(segments_table,6,14):INDEX(segments_table,6,18))&gt;0,F95,0)+IF(COUNT(INDEX(segments_table,7,14):INDEX(segments_table,7,18))&gt;0,F99,0)+IF(COUNT(INDEX(segments_table,8,14):INDEX(segments_table,8,18))&gt;0,F103,0)</f>
        <v/>
      </c>
      <c r="G107" s="41">
        <f>IF(COUNT(INDEX(segments_table,1,14):INDEX(segments_table,1,18))&gt;0,G75,0)+IF(COUNT(INDEX(segments_table,2,14):INDEX(segments_table,2,18))&gt;0,G79,0)+IF(COUNT(INDEX(segments_table,3,14):INDEX(segments_table,3,18))&gt;0,G83,0)+IF(COUNT(INDEX(segments_table,4,14):INDEX(segments_table,4,18))&gt;0,G87,0)+IF(COUNT(INDEX(segments_table,5,14):INDEX(segments_table,5,18))&gt;0,G91,0)+IF(COUNT(INDEX(segments_table,6,14):INDEX(segments_table,6,18))&gt;0,G95,0)+IF(COUNT(INDEX(segments_table,7,14):INDEX(segments_table,7,18))&gt;0,G99,0)+IF(COUNT(INDEX(segments_table,8,14):INDEX(segments_table,8,18))&gt;0,G103,0)</f>
        <v/>
      </c>
      <c r="H107" s="41">
        <f>IF(COUNT(INDEX(segments_table,1,14):INDEX(segments_table,1,18))&gt;0,H75,0)+IF(COUNT(INDEX(segments_table,2,14):INDEX(segments_table,2,18))&gt;0,H79,0)+IF(COUNT(INDEX(segments_table,3,14):INDEX(segments_table,3,18))&gt;0,H83,0)+IF(COUNT(INDEX(segments_table,4,14):INDEX(segments_table,4,18))&gt;0,H87,0)+IF(COUNT(INDEX(segments_table,5,14):INDEX(segments_table,5,18))&gt;0,H91,0)+IF(COUNT(INDEX(segments_table,6,14):INDEX(segments_table,6,18))&gt;0,H95,0)+IF(COUNT(INDEX(segments_table,7,14):INDEX(segments_table,7,18))&gt;0,H99,0)+IF(COUNT(INDEX(segments_table,8,14):INDEX(segments_table,8,18))&gt;0,H103,0)</f>
        <v/>
      </c>
    </row>
    <row r="108">
      <c r="A108" s="2" t="inlineStr">
        <is>
          <t>Direct expenses — carved-out streams subtotal</t>
        </is>
      </c>
      <c r="C108" t="n">
        <v>0</v>
      </c>
      <c r="D108" s="41">
        <f>IF(COUNT(INDEX(segments_table,1,14):INDEX(segments_table,1,18))&gt;0,N(D77),0)+IF(COUNT(INDEX(segments_table,2,14):INDEX(segments_table,2,18))&gt;0,N(D81),0)+IF(COUNT(INDEX(segments_table,3,14):INDEX(segments_table,3,18))&gt;0,N(D85),0)+IF(COUNT(INDEX(segments_table,4,14):INDEX(segments_table,4,18))&gt;0,N(D89),0)+IF(COUNT(INDEX(segments_table,5,14):INDEX(segments_table,5,18))&gt;0,N(D93),0)+IF(COUNT(INDEX(segments_table,6,14):INDEX(segments_table,6,18))&gt;0,N(D97),0)+IF(COUNT(INDEX(segments_table,7,14):INDEX(segments_table,7,18))&gt;0,N(D101),0)+IF(COUNT(INDEX(segments_table,8,14):INDEX(segments_table,8,18))&gt;0,N(D105),0)</f>
        <v/>
      </c>
      <c r="E108" s="41">
        <f>IF(COUNT(INDEX(segments_table,1,14):INDEX(segments_table,1,18))&gt;0,N(E77),0)+IF(COUNT(INDEX(segments_table,2,14):INDEX(segments_table,2,18))&gt;0,N(E81),0)+IF(COUNT(INDEX(segments_table,3,14):INDEX(segments_table,3,18))&gt;0,N(E85),0)+IF(COUNT(INDEX(segments_table,4,14):INDEX(segments_table,4,18))&gt;0,N(E89),0)+IF(COUNT(INDEX(segments_table,5,14):INDEX(segments_table,5,18))&gt;0,N(E93),0)+IF(COUNT(INDEX(segments_table,6,14):INDEX(segments_table,6,18))&gt;0,N(E97),0)+IF(COUNT(INDEX(segments_table,7,14):INDEX(segments_table,7,18))&gt;0,N(E101),0)+IF(COUNT(INDEX(segments_table,8,14):INDEX(segments_table,8,18))&gt;0,N(E105),0)</f>
        <v/>
      </c>
      <c r="F108" s="41">
        <f>IF(COUNT(INDEX(segments_table,1,14):INDEX(segments_table,1,18))&gt;0,N(F77),0)+IF(COUNT(INDEX(segments_table,2,14):INDEX(segments_table,2,18))&gt;0,N(F81),0)+IF(COUNT(INDEX(segments_table,3,14):INDEX(segments_table,3,18))&gt;0,N(F85),0)+IF(COUNT(INDEX(segments_table,4,14):INDEX(segments_table,4,18))&gt;0,N(F89),0)+IF(COUNT(INDEX(segments_table,5,14):INDEX(segments_table,5,18))&gt;0,N(F93),0)+IF(COUNT(INDEX(segments_table,6,14):INDEX(segments_table,6,18))&gt;0,N(F97),0)+IF(COUNT(INDEX(segments_table,7,14):INDEX(segments_table,7,18))&gt;0,N(F101),0)+IF(COUNT(INDEX(segments_table,8,14):INDEX(segments_table,8,18))&gt;0,N(F105),0)</f>
        <v/>
      </c>
      <c r="G108" s="41">
        <f>IF(COUNT(INDEX(segments_table,1,14):INDEX(segments_table,1,18))&gt;0,N(G77),0)+IF(COUNT(INDEX(segments_table,2,14):INDEX(segments_table,2,18))&gt;0,N(G81),0)+IF(COUNT(INDEX(segments_table,3,14):INDEX(segments_table,3,18))&gt;0,N(G85),0)+IF(COUNT(INDEX(segments_table,4,14):INDEX(segments_table,4,18))&gt;0,N(G89),0)+IF(COUNT(INDEX(segments_table,5,14):INDEX(segments_table,5,18))&gt;0,N(G93),0)+IF(COUNT(INDEX(segments_table,6,14):INDEX(segments_table,6,18))&gt;0,N(G97),0)+IF(COUNT(INDEX(segments_table,7,14):INDEX(segments_table,7,18))&gt;0,N(G101),0)+IF(COUNT(INDEX(segments_table,8,14):INDEX(segments_table,8,18))&gt;0,N(G105),0)</f>
        <v/>
      </c>
      <c r="H108" s="41">
        <f>IF(COUNT(INDEX(segments_table,1,14):INDEX(segments_table,1,18))&gt;0,N(H77),0)+IF(COUNT(INDEX(segments_table,2,14):INDEX(segments_table,2,18))&gt;0,N(H81),0)+IF(COUNT(INDEX(segments_table,3,14):INDEX(segments_table,3,18))&gt;0,N(H85),0)+IF(COUNT(INDEX(segments_table,4,14):INDEX(segments_table,4,18))&gt;0,N(H89),0)+IF(COUNT(INDEX(segments_table,5,14):INDEX(segments_table,5,18))&gt;0,N(H93),0)+IF(COUNT(INDEX(segments_table,6,14):INDEX(segments_table,6,18))&gt;0,N(H97),0)+IF(COUNT(INDEX(segments_table,7,14):INDEX(segments_table,7,18))&gt;0,N(H101),0)+IF(COUNT(INDEX(segments_table,8,14):INDEX(segments_table,8,18))&gt;0,N(H105),0)</f>
        <v/>
      </c>
    </row>
  </sheetData>
  <mergeCells count="10">
    <mergeCell ref="A56:H56"/>
    <mergeCell ref="A65:H65"/>
    <mergeCell ref="A73:H73"/>
    <mergeCell ref="A2:H2"/>
    <mergeCell ref="A28:H28"/>
    <mergeCell ref="A60:H60"/>
    <mergeCell ref="A1:H1"/>
    <mergeCell ref="A46:H46"/>
    <mergeCell ref="A6:H6"/>
    <mergeCell ref="A74:H7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7"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8">
        <f>wacc_per_mgmt</f>
        <v/>
      </c>
    </row>
    <row r="8">
      <c r="A8" s="4" t="inlineStr">
        <is>
          <t>Terminal growth rate</t>
        </is>
      </c>
      <c r="B8" s="2" t="inlineStr">
        <is>
          <t>%</t>
        </is>
      </c>
      <c r="D8" s="48">
        <f>terminal_growth_rate</f>
        <v/>
      </c>
    </row>
    <row r="10">
      <c r="A10" s="3" t="inlineStr">
        <is>
          <t>FCFF &amp; discount mechanics</t>
        </is>
      </c>
    </row>
    <row r="11">
      <c r="A11" s="4" t="inlineStr">
        <is>
          <t>FCFF</t>
        </is>
      </c>
      <c r="B11" s="2" t="inlineStr">
        <is>
          <t>(currency × unit)</t>
        </is>
      </c>
      <c r="D11" s="41">
        <f>Projections!D71</f>
        <v/>
      </c>
      <c r="E11" s="41">
        <f>Projections!E71</f>
        <v/>
      </c>
      <c r="F11" s="41">
        <f>Projections!F71</f>
        <v/>
      </c>
      <c r="G11" s="41">
        <f>Projections!G71</f>
        <v/>
      </c>
      <c r="H11" s="41">
        <f>Projections!H71</f>
        <v/>
      </c>
    </row>
    <row r="12">
      <c r="A12" s="4" t="inlineStr">
        <is>
          <t>Discount period</t>
        </is>
      </c>
      <c r="B12" s="2" t="inlineStr">
        <is>
          <t>years</t>
        </is>
      </c>
      <c r="D12" s="49" t="n">
        <v>1</v>
      </c>
      <c r="E12" s="49" t="n">
        <v>2</v>
      </c>
      <c r="F12" s="49" t="n">
        <v>3</v>
      </c>
      <c r="G12" s="49" t="n">
        <v>4</v>
      </c>
      <c r="H12" s="49" t="n">
        <v>5</v>
      </c>
    </row>
    <row r="13">
      <c r="A13" s="4" t="inlineStr">
        <is>
          <t>Discount factor</t>
        </is>
      </c>
      <c r="B13" s="2" t="inlineStr">
        <is>
          <t>x</t>
        </is>
      </c>
      <c r="D13" s="50">
        <f>1/(1+wacc_per_mgmt)^D12</f>
        <v/>
      </c>
      <c r="E13" s="50">
        <f>1/(1+wacc_per_mgmt)^E12</f>
        <v/>
      </c>
      <c r="F13" s="50">
        <f>1/(1+wacc_per_mgmt)^F12</f>
        <v/>
      </c>
      <c r="G13" s="50">
        <f>1/(1+wacc_per_mgmt)^G12</f>
        <v/>
      </c>
      <c r="H13" s="50">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Projections!H71</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50*terminal_exit_multiple_value,IF(EXACT(terminal_exit_multiple_type,"EV/Sales"),Projections!H25*terminal_exit_multiple_value,IF(EXACT(terminal_exit_multiple_type,"P/E"),Projections!H58*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5" t="inlineStr">
        <is>
          <t>Enterprise Value</t>
        </is>
      </c>
      <c r="I27" s="46">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7"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8">
        <f>wacc_indep</f>
        <v/>
      </c>
    </row>
    <row r="8">
      <c r="A8" s="4" t="inlineStr">
        <is>
          <t>Terminal growth rate</t>
        </is>
      </c>
      <c r="B8" s="2" t="inlineStr">
        <is>
          <t>%</t>
        </is>
      </c>
      <c r="D8" s="48">
        <f>terminal_growth_rate</f>
        <v/>
      </c>
    </row>
    <row r="10">
      <c r="A10" s="3" t="inlineStr">
        <is>
          <t>FCFF &amp; discount mechanics</t>
        </is>
      </c>
    </row>
    <row r="11">
      <c r="A11" s="4" t="inlineStr">
        <is>
          <t>FCFF</t>
        </is>
      </c>
      <c r="B11" s="2" t="inlineStr">
        <is>
          <t>(currency × unit)</t>
        </is>
      </c>
      <c r="D11" s="41">
        <f>Projections!D71</f>
        <v/>
      </c>
      <c r="E11" s="41">
        <f>Projections!E71</f>
        <v/>
      </c>
      <c r="F11" s="41">
        <f>Projections!F71</f>
        <v/>
      </c>
      <c r="G11" s="41">
        <f>Projections!G71</f>
        <v/>
      </c>
      <c r="H11" s="41">
        <f>Projections!H71</f>
        <v/>
      </c>
    </row>
    <row r="12">
      <c r="A12" s="4" t="inlineStr">
        <is>
          <t>Discount period</t>
        </is>
      </c>
      <c r="B12" s="2" t="inlineStr">
        <is>
          <t>years</t>
        </is>
      </c>
      <c r="D12" s="49" t="n">
        <v>1</v>
      </c>
      <c r="E12" s="49" t="n">
        <v>2</v>
      </c>
      <c r="F12" s="49" t="n">
        <v>3</v>
      </c>
      <c r="G12" s="49" t="n">
        <v>4</v>
      </c>
      <c r="H12" s="49" t="n">
        <v>5</v>
      </c>
    </row>
    <row r="13">
      <c r="A13" s="4" t="inlineStr">
        <is>
          <t>Discount factor</t>
        </is>
      </c>
      <c r="B13" s="2" t="inlineStr">
        <is>
          <t>x</t>
        </is>
      </c>
      <c r="D13" s="50">
        <f>1/(1+wacc_indep)^D12</f>
        <v/>
      </c>
      <c r="E13" s="50">
        <f>1/(1+wacc_indep)^E12</f>
        <v/>
      </c>
      <c r="F13" s="50">
        <f>1/(1+wacc_indep)^F12</f>
        <v/>
      </c>
      <c r="G13" s="50">
        <f>1/(1+wacc_indep)^G12</f>
        <v/>
      </c>
      <c r="H13" s="50">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Projections!H71</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50*terminal_exit_multiple_value,IF(EXACT(terminal_exit_multiple_type,"EV/Sales"),Projections!H25*terminal_exit_multiple_value,IF(EXACT(terminal_exit_multiple_type,"P/E"),Projections!H58*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5" t="inlineStr">
        <is>
          <t>Enterprise Value</t>
        </is>
      </c>
      <c r="I27" s="46">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Projections!D25</f>
        <v/>
      </c>
      <c r="C7" s="51">
        <f>'CoCo Multiples'!F41</f>
        <v/>
      </c>
      <c r="D7" s="51">
        <f>'CoCo Multiples'!F39</f>
        <v/>
      </c>
      <c r="E7" s="51">
        <f>'CoCo Multiples'!F38</f>
        <v/>
      </c>
      <c r="F7" s="40">
        <f>IFERROR(B7*C7,"n/a")</f>
        <v/>
      </c>
      <c r="G7" s="40">
        <f>IFERROR(B7*D7,"n/a")</f>
        <v/>
      </c>
      <c r="H7" s="40">
        <f>IFERROR(B7*E7,"n/a")</f>
        <v/>
      </c>
    </row>
    <row r="8">
      <c r="A8" s="4" t="inlineStr">
        <is>
          <t>EV/EBITDA NTM</t>
        </is>
      </c>
      <c r="B8" s="40">
        <f>Projections!D50</f>
        <v/>
      </c>
      <c r="C8" s="52">
        <f>'CoCo Multiples'!H41</f>
        <v/>
      </c>
      <c r="D8" s="52">
        <f>'CoCo Multiples'!H39</f>
        <v/>
      </c>
      <c r="E8" s="52">
        <f>'CoCo Multiples'!H38</f>
        <v/>
      </c>
      <c r="F8" s="40">
        <f>IFERROR(B8*C8,"n/a")</f>
        <v/>
      </c>
      <c r="G8" s="40">
        <f>IFERROR(B8*D8,"n/a")</f>
        <v/>
      </c>
      <c r="H8" s="40">
        <f>IFERROR(B8*E8,"n/a")</f>
        <v/>
      </c>
    </row>
    <row r="9">
      <c r="A9" s="4" t="inlineStr">
        <is>
          <t>P/E NTM (gives Equity)</t>
        </is>
      </c>
      <c r="B9" s="40">
        <f>Projections!D58</f>
        <v/>
      </c>
      <c r="C9" s="52">
        <f>'CoCo Multiples'!J41</f>
        <v/>
      </c>
      <c r="D9" s="52">
        <f>'CoCo Multiples'!J39</f>
        <v/>
      </c>
      <c r="E9" s="52">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5" t="inlineStr">
        <is>
          <t>DCF EV — Per Management</t>
        </is>
      </c>
      <c r="B15" s="53">
        <f>'DCF'!I27</f>
        <v/>
      </c>
    </row>
    <row r="16">
      <c r="A16" s="45" t="inlineStr">
        <is>
          <t>DCF EV — Independent</t>
        </is>
      </c>
      <c r="B16" s="53">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5" t="inlineStr">
        <is>
          <t>Mean of CoCo-implied EVs (Sales + EBITDA + P/E)</t>
        </is>
      </c>
      <c r="B21" s="53">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ranges (DCF primary; others cross-checks)</t>
        </is>
      </c>
    </row>
    <row r="2">
      <c r="A2" s="2" t="inlineStr">
        <is>
          <t>Range chart input. DCF range comes from the two WACC scenarios and is the primary methodology (weight_dcf = 1.0). Comps range from CoCo Q1/Median/Q3 and Precedent range from precedents_table are retained as cross-checks against the DCF EV (±10% band, see rows 22-26).</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4" t="inlineStr">
        <is>
          <t>DCF (across scenarios)</t>
        </is>
      </c>
      <c r="B7" s="40">
        <f>MIN('DCF'!I27,'DCF (Independent)'!I27)</f>
        <v/>
      </c>
      <c r="C7" s="40">
        <f>AVERAGE('DCF'!I27,'DCF (Independent)'!I27)</f>
        <v/>
      </c>
      <c r="D7" s="40">
        <f>MAX('DCF'!I27,'DCF (Independent)'!I27)</f>
        <v/>
      </c>
      <c r="E7" s="55">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4" t="inlineStr">
        <is>
          <t>Comps — combined (mean of 3 methodologies)</t>
        </is>
      </c>
      <c r="B11" s="40">
        <f>MIN(C8,C9,C10)</f>
        <v/>
      </c>
      <c r="C11" s="40">
        <f>AVERAGE(C8,C9,C10)</f>
        <v/>
      </c>
      <c r="D11" s="40">
        <f>MAX(C8,C9,C10)</f>
        <v/>
      </c>
      <c r="E11" s="55">
        <f>weight_comps</f>
        <v/>
      </c>
      <c r="F11" s="40">
        <f>C11*E11</f>
        <v/>
      </c>
      <c r="G11" s="34" t="inlineStr">
        <is>
          <t>Low/High across the 3 mids; Mid is mean</t>
        </is>
      </c>
    </row>
    <row r="12">
      <c r="A12" s="54" t="inlineStr">
        <is>
          <t>Precedent transactions</t>
        </is>
      </c>
      <c r="B12" s="40">
        <f>IFERROR(MIN(IF(INDEX(precedents_table,0,1)=TRUE,INDEX(precedents_table,0,7)*Projections!D50,"")),0)</f>
        <v/>
      </c>
      <c r="C12" s="40">
        <f>IFERROR(AVERAGEIFS(INDEX(precedents_table,0,7),INDEX(precedents_table,0,1),TRUE)*Projections!D50,0)</f>
        <v/>
      </c>
      <c r="D12" s="40">
        <f>IFERROR(MAX(IF(INDEX(precedents_table,0,1)=TRUE,INDEX(precedents_table,0,7)*Projections!D50,"")),0)</f>
        <v/>
      </c>
      <c r="E12" s="55">
        <f>weight_precedent</f>
        <v/>
      </c>
      <c r="F12" s="40">
        <f>C12*E12</f>
        <v/>
      </c>
      <c r="G12" s="34" t="inlineStr">
        <is>
          <t>Mean EV/EBITDA × Y1 EBITDA across included precedents</t>
        </is>
      </c>
    </row>
    <row r="14">
      <c r="A14" s="3" t="inlineStr">
        <is>
          <t>Concluded valuation (DCF primary)</t>
        </is>
      </c>
    </row>
    <row r="15">
      <c r="A15" s="4" t="inlineStr">
        <is>
          <t>Total weight applied</t>
        </is>
      </c>
      <c r="E15" s="42">
        <f>E7+E11+E12</f>
        <v/>
      </c>
    </row>
    <row r="16">
      <c r="A16" s="45" t="inlineStr">
        <is>
          <t>Concluded EV (DCF primary)</t>
        </is>
      </c>
      <c r="F16" s="46">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row r="22">
      <c r="A22" s="3" t="inlineStr">
        <is>
          <t>Cross-checks vs DCF enterprise value (±10% band)</t>
        </is>
      </c>
    </row>
    <row r="23">
      <c r="A23" s="56" t="inlineStr">
        <is>
          <t>Cross-check</t>
        </is>
      </c>
      <c r="B23" s="56" t="inlineStr">
        <is>
          <t>Implied EV</t>
        </is>
      </c>
      <c r="C23" s="56" t="inlineStr">
        <is>
          <t>Variance vs DCF</t>
        </is>
      </c>
      <c r="D23" s="56" t="inlineStr">
        <is>
          <t>Assessment</t>
        </is>
      </c>
      <c r="E23" s="56" t="inlineStr"/>
      <c r="F23" s="56" t="inlineStr"/>
      <c r="G23" s="56" t="inlineStr"/>
    </row>
    <row r="24">
      <c r="A24" s="22" t="inlineStr">
        <is>
          <t>Market approach (Comps combined)</t>
        </is>
      </c>
      <c r="B24" s="40">
        <f>C11</f>
        <v/>
      </c>
      <c r="C24" s="55">
        <f>IF(OR(C11=0,'DCF'!I27=0),"n/a",C11/'DCF'!I27-1)</f>
        <v/>
      </c>
      <c r="D24" s="33">
        <f>IF(OR(C11=0,'DCF'!I27=0),"Not available",IF(ABS(C11/'DCF'!I27-1)&lt;=0.1,"Within reasonable range","Outside cross-check range"))</f>
        <v/>
      </c>
      <c r="E24" s="33" t="n"/>
      <c r="F24" s="33" t="n"/>
      <c r="G24" s="33" t="n"/>
    </row>
    <row r="25">
      <c r="A25" s="22" t="inlineStr">
        <is>
          <t>Precedent transactions</t>
        </is>
      </c>
      <c r="B25" s="40">
        <f>C12</f>
        <v/>
      </c>
      <c r="C25" s="55">
        <f>IF(OR(C12=0,'DCF'!I27=0),"n/a",C12/'DCF'!I27-1)</f>
        <v/>
      </c>
      <c r="D25" s="33">
        <f>IF(OR(C12=0,'DCF'!I27=0),"Not available",IF(ABS(C12/'DCF'!I27-1)&lt;=0.1,"Within reasonable range","Outside cross-check range"))</f>
        <v/>
      </c>
      <c r="E25" s="33" t="n"/>
      <c r="F25" s="33" t="n"/>
      <c r="G25" s="33" t="n"/>
    </row>
    <row r="26">
      <c r="A26" s="54" t="inlineStr">
        <is>
          <t>Overall cross-check verdict</t>
        </is>
      </c>
      <c r="B26" s="33" t="n"/>
      <c r="C26" s="33" t="n"/>
      <c r="D26" s="54">
        <f>IF(AND(D24="Not available",D25="Not available"),"Not available",IF(OR(D24="Outside cross-check range",D25="Outside cross-check range"),"Outside cross-check range","Within reasonable range"))</f>
        <v/>
      </c>
      <c r="E26" s="33" t="n"/>
      <c r="F26" s="33" t="n"/>
      <c r="G26" s="33" t="n"/>
    </row>
  </sheetData>
  <mergeCells count="6">
    <mergeCell ref="A14:G14"/>
    <mergeCell ref="A17:G17"/>
    <mergeCell ref="A6:G6"/>
    <mergeCell ref="A22:G22"/>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7">
        <f>IF(ISNUMBER(tax_effective_rate),tax_effective_rate,tax_rate_high)</f>
        <v/>
      </c>
      <c r="F7" s="57">
        <f>IF(ISNUMBER(tax_effective_rate),tax_effective_rate,tax_rate_high)</f>
        <v/>
      </c>
    </row>
    <row r="8">
      <c r="A8" s="4" t="inlineStr">
        <is>
          <t>Unlevered beta</t>
        </is>
      </c>
      <c r="C8" s="2" t="inlineStr">
        <is>
          <t>x</t>
        </is>
      </c>
      <c r="E8" s="58">
        <f>unlevered_beta_per_mgmt</f>
        <v/>
      </c>
      <c r="F8" s="58">
        <f>unlevered_beta_indep</f>
        <v/>
      </c>
    </row>
    <row r="9">
      <c r="A9" s="4" t="inlineStr">
        <is>
          <t>D/E ratio</t>
        </is>
      </c>
      <c r="C9" s="2" t="inlineStr">
        <is>
          <t>%</t>
        </is>
      </c>
      <c r="E9" s="57">
        <f>target_debt_to_equity_per_mgmt</f>
        <v/>
      </c>
      <c r="F9" s="57">
        <f>target_debt_to_equity_indep</f>
        <v/>
      </c>
    </row>
    <row r="10">
      <c r="A10" s="4" t="inlineStr">
        <is>
          <t>Levered beta (calc)</t>
        </is>
      </c>
      <c r="C10" s="2" t="inlineStr">
        <is>
          <t>x</t>
        </is>
      </c>
      <c r="E10" s="58">
        <f>E8*(1+(1-E7)*E9)</f>
        <v/>
      </c>
      <c r="F10" s="58">
        <f>F8*(1+(1-F7)*F9)</f>
        <v/>
      </c>
    </row>
    <row r="11">
      <c r="A11" s="4" t="inlineStr">
        <is>
          <t>Risk-free rate</t>
        </is>
      </c>
      <c r="C11" s="2" t="inlineStr">
        <is>
          <t>%</t>
        </is>
      </c>
      <c r="E11" s="57">
        <f>risk_free_rate</f>
        <v/>
      </c>
      <c r="F11" s="57">
        <f>risk_free_rate</f>
        <v/>
      </c>
    </row>
    <row r="12">
      <c r="A12" s="4" t="inlineStr">
        <is>
          <t>Equity risk premium (ERP)</t>
        </is>
      </c>
      <c r="C12" s="2" t="inlineStr">
        <is>
          <t>%</t>
        </is>
      </c>
      <c r="E12" s="57">
        <f>equity_risk_premium</f>
        <v/>
      </c>
      <c r="F12" s="57">
        <f>equity_risk_premium</f>
        <v/>
      </c>
    </row>
    <row r="13">
      <c r="A13" s="4" t="inlineStr">
        <is>
          <t>Country risk premium</t>
        </is>
      </c>
      <c r="C13" s="2" t="inlineStr">
        <is>
          <t>%</t>
        </is>
      </c>
      <c r="E13" s="57">
        <f>country_risk_premium</f>
        <v/>
      </c>
      <c r="F13" s="57">
        <f>country_risk_premium</f>
        <v/>
      </c>
    </row>
    <row r="14">
      <c r="A14" s="4" t="inlineStr">
        <is>
          <t>Size premium</t>
        </is>
      </c>
      <c r="C14" s="2" t="inlineStr">
        <is>
          <t>%</t>
        </is>
      </c>
      <c r="E14" s="57">
        <f>size_premium_per_mgmt</f>
        <v/>
      </c>
      <c r="F14" s="57">
        <f>size_premium_indep</f>
        <v/>
      </c>
    </row>
    <row r="15">
      <c r="A15" s="4" t="inlineStr">
        <is>
          <t>Specific risk premium</t>
        </is>
      </c>
      <c r="C15" s="2" t="inlineStr">
        <is>
          <t>%</t>
        </is>
      </c>
      <c r="E15" s="57">
        <f>specific_risk_premium_per_mgmt</f>
        <v/>
      </c>
      <c r="F15" s="57">
        <f>specific_risk_premium_indep</f>
        <v/>
      </c>
    </row>
    <row r="16">
      <c r="A16" s="45" t="inlineStr">
        <is>
          <t>Cost of Equity (calc)</t>
        </is>
      </c>
      <c r="C16" s="2" t="inlineStr">
        <is>
          <t>%</t>
        </is>
      </c>
      <c r="E16" s="57">
        <f>E11+E10*E12+E13+E14+E15</f>
        <v/>
      </c>
      <c r="F16" s="57">
        <f>F11+F10*F12+F13+F14+F15</f>
        <v/>
      </c>
    </row>
    <row r="18">
      <c r="A18" s="3" t="inlineStr">
        <is>
          <t>Cost of Debt (Kd)</t>
        </is>
      </c>
    </row>
    <row r="19">
      <c r="A19" s="4" t="inlineStr">
        <is>
          <t>Pre-tax cost of debt</t>
        </is>
      </c>
      <c r="C19" s="2" t="inlineStr">
        <is>
          <t>%</t>
        </is>
      </c>
      <c r="E19" s="57">
        <f>pretax_cost_of_debt_per_mgmt</f>
        <v/>
      </c>
      <c r="F19" s="57">
        <f>pretax_cost_of_debt_indep</f>
        <v/>
      </c>
    </row>
    <row r="20">
      <c r="A20" s="45" t="inlineStr">
        <is>
          <t>After-tax cost of debt (calc)</t>
        </is>
      </c>
      <c r="C20" s="2" t="inlineStr">
        <is>
          <t>%</t>
        </is>
      </c>
      <c r="E20" s="57">
        <f>E19*(1-E7)</f>
        <v/>
      </c>
      <c r="F20" s="57">
        <f>F19*(1-F7)</f>
        <v/>
      </c>
    </row>
    <row r="22">
      <c r="A22" s="3" t="inlineStr">
        <is>
          <t>Capital structure &amp; WACC</t>
        </is>
      </c>
    </row>
    <row r="23">
      <c r="A23" s="4" t="inlineStr">
        <is>
          <t>D/V (debt weight)</t>
        </is>
      </c>
      <c r="C23" s="2" t="inlineStr">
        <is>
          <t>%</t>
        </is>
      </c>
      <c r="E23" s="57">
        <f>target_debt_weight_per_mgmt</f>
        <v/>
      </c>
      <c r="F23" s="57">
        <f>target_debt_weight_indep</f>
        <v/>
      </c>
    </row>
    <row r="24">
      <c r="A24" s="4" t="inlineStr">
        <is>
          <t>E/V (equity weight)</t>
        </is>
      </c>
      <c r="C24" s="2" t="inlineStr">
        <is>
          <t>%</t>
        </is>
      </c>
      <c r="E24" s="57">
        <f>target_equity_weight_per_mgmt</f>
        <v/>
      </c>
      <c r="F24" s="57">
        <f>target_equity_weight_indep</f>
        <v/>
      </c>
    </row>
    <row r="25">
      <c r="A25" s="45" t="inlineStr">
        <is>
          <t>WACC (calc)</t>
        </is>
      </c>
      <c r="C25" s="2" t="inlineStr">
        <is>
          <t>%</t>
        </is>
      </c>
      <c r="E25" s="57">
        <f>E16*E24+E20*E23</f>
        <v/>
      </c>
      <c r="F25" s="57">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9" t="n"/>
      <c r="F6" s="59" t="n"/>
      <c r="G6" s="60" t="n"/>
      <c r="H6" s="60" t="n"/>
      <c r="I6" s="60" t="n"/>
      <c r="J6" s="60" t="n"/>
    </row>
    <row r="7">
      <c r="A7" s="33">
        <f>Inputs!A128</f>
        <v/>
      </c>
      <c r="B7" s="33">
        <f>Inputs!B128</f>
        <v/>
      </c>
      <c r="C7" s="33">
        <f>Inputs!C128</f>
        <v/>
      </c>
      <c r="D7" s="33">
        <f>Inputs!D128</f>
        <v/>
      </c>
      <c r="E7" s="59" t="n"/>
      <c r="F7" s="59" t="n"/>
      <c r="G7" s="60" t="n"/>
      <c r="H7" s="60" t="n"/>
      <c r="I7" s="60" t="n"/>
      <c r="J7" s="60" t="n"/>
    </row>
    <row r="8">
      <c r="A8" s="33">
        <f>Inputs!A129</f>
        <v/>
      </c>
      <c r="B8" s="33">
        <f>Inputs!B129</f>
        <v/>
      </c>
      <c r="C8" s="33">
        <f>Inputs!C129</f>
        <v/>
      </c>
      <c r="D8" s="33">
        <f>Inputs!D129</f>
        <v/>
      </c>
      <c r="E8" s="59" t="n"/>
      <c r="F8" s="59" t="n"/>
      <c r="G8" s="60" t="n"/>
      <c r="H8" s="60" t="n"/>
      <c r="I8" s="60" t="n"/>
      <c r="J8" s="60" t="n"/>
    </row>
    <row r="9">
      <c r="A9" s="33">
        <f>Inputs!A130</f>
        <v/>
      </c>
      <c r="B9" s="33">
        <f>Inputs!B130</f>
        <v/>
      </c>
      <c r="C9" s="33">
        <f>Inputs!C130</f>
        <v/>
      </c>
      <c r="D9" s="33">
        <f>Inputs!D130</f>
        <v/>
      </c>
      <c r="E9" s="59" t="n"/>
      <c r="F9" s="59" t="n"/>
      <c r="G9" s="60" t="n"/>
      <c r="H9" s="60" t="n"/>
      <c r="I9" s="60" t="n"/>
      <c r="J9" s="60" t="n"/>
    </row>
    <row r="10">
      <c r="A10" s="33">
        <f>Inputs!A131</f>
        <v/>
      </c>
      <c r="B10" s="33">
        <f>Inputs!B131</f>
        <v/>
      </c>
      <c r="C10" s="33">
        <f>Inputs!C131</f>
        <v/>
      </c>
      <c r="D10" s="33">
        <f>Inputs!D131</f>
        <v/>
      </c>
      <c r="E10" s="59" t="n"/>
      <c r="F10" s="59" t="n"/>
      <c r="G10" s="60" t="n"/>
      <c r="H10" s="60" t="n"/>
      <c r="I10" s="60" t="n"/>
      <c r="J10" s="60" t="n"/>
    </row>
    <row r="11">
      <c r="A11" s="33">
        <f>Inputs!A132</f>
        <v/>
      </c>
      <c r="B11" s="33">
        <f>Inputs!B132</f>
        <v/>
      </c>
      <c r="C11" s="33">
        <f>Inputs!C132</f>
        <v/>
      </c>
      <c r="D11" s="33">
        <f>Inputs!D132</f>
        <v/>
      </c>
      <c r="E11" s="59" t="n"/>
      <c r="F11" s="59" t="n"/>
      <c r="G11" s="60" t="n"/>
      <c r="H11" s="60" t="n"/>
      <c r="I11" s="60" t="n"/>
      <c r="J11" s="60" t="n"/>
    </row>
    <row r="12">
      <c r="A12" s="33">
        <f>Inputs!A133</f>
        <v/>
      </c>
      <c r="B12" s="33">
        <f>Inputs!B133</f>
        <v/>
      </c>
      <c r="C12" s="33">
        <f>Inputs!C133</f>
        <v/>
      </c>
      <c r="D12" s="33">
        <f>Inputs!D133</f>
        <v/>
      </c>
      <c r="E12" s="59" t="n"/>
      <c r="F12" s="59" t="n"/>
      <c r="G12" s="60" t="n"/>
      <c r="H12" s="60" t="n"/>
      <c r="I12" s="60" t="n"/>
      <c r="J12" s="60" t="n"/>
    </row>
    <row r="13">
      <c r="A13" s="33">
        <f>Inputs!A134</f>
        <v/>
      </c>
      <c r="B13" s="33">
        <f>Inputs!B134</f>
        <v/>
      </c>
      <c r="C13" s="33">
        <f>Inputs!C134</f>
        <v/>
      </c>
      <c r="D13" s="33">
        <f>Inputs!D134</f>
        <v/>
      </c>
      <c r="E13" s="59" t="n"/>
      <c r="F13" s="59" t="n"/>
      <c r="G13" s="60" t="n"/>
      <c r="H13" s="60" t="n"/>
      <c r="I13" s="60" t="n"/>
      <c r="J13" s="60" t="n"/>
    </row>
    <row r="14">
      <c r="A14" s="33">
        <f>Inputs!A135</f>
        <v/>
      </c>
      <c r="B14" s="33">
        <f>Inputs!B135</f>
        <v/>
      </c>
      <c r="C14" s="33">
        <f>Inputs!C135</f>
        <v/>
      </c>
      <c r="D14" s="33">
        <f>Inputs!D135</f>
        <v/>
      </c>
      <c r="E14" s="59" t="n"/>
      <c r="F14" s="59" t="n"/>
      <c r="G14" s="60" t="n"/>
      <c r="H14" s="60" t="n"/>
      <c r="I14" s="60" t="n"/>
      <c r="J14" s="60" t="n"/>
    </row>
    <row r="15">
      <c r="A15" s="33">
        <f>Inputs!A136</f>
        <v/>
      </c>
      <c r="B15" s="33">
        <f>Inputs!B136</f>
        <v/>
      </c>
      <c r="C15" s="33">
        <f>Inputs!C136</f>
        <v/>
      </c>
      <c r="D15" s="33">
        <f>Inputs!D136</f>
        <v/>
      </c>
      <c r="E15" s="59" t="n"/>
      <c r="F15" s="59" t="n"/>
      <c r="G15" s="60" t="n"/>
      <c r="H15" s="60" t="n"/>
      <c r="I15" s="60" t="n"/>
      <c r="J15" s="60" t="n"/>
    </row>
    <row r="16">
      <c r="A16" s="33">
        <f>Inputs!A137</f>
        <v/>
      </c>
      <c r="B16" s="33">
        <f>Inputs!B137</f>
        <v/>
      </c>
      <c r="C16" s="33">
        <f>Inputs!C137</f>
        <v/>
      </c>
      <c r="D16" s="33">
        <f>Inputs!D137</f>
        <v/>
      </c>
      <c r="E16" s="59" t="n"/>
      <c r="F16" s="59" t="n"/>
      <c r="G16" s="60" t="n"/>
      <c r="H16" s="60" t="n"/>
      <c r="I16" s="60" t="n"/>
      <c r="J16" s="60" t="n"/>
    </row>
    <row r="17">
      <c r="A17" s="33">
        <f>Inputs!A138</f>
        <v/>
      </c>
      <c r="B17" s="33">
        <f>Inputs!B138</f>
        <v/>
      </c>
      <c r="C17" s="33">
        <f>Inputs!C138</f>
        <v/>
      </c>
      <c r="D17" s="33">
        <f>Inputs!D138</f>
        <v/>
      </c>
      <c r="E17" s="59" t="n"/>
      <c r="F17" s="59" t="n"/>
      <c r="G17" s="60" t="n"/>
      <c r="H17" s="60" t="n"/>
      <c r="I17" s="60" t="n"/>
      <c r="J17" s="60" t="n"/>
    </row>
    <row r="18">
      <c r="A18" s="33">
        <f>Inputs!A139</f>
        <v/>
      </c>
      <c r="B18" s="33">
        <f>Inputs!B139</f>
        <v/>
      </c>
      <c r="C18" s="33">
        <f>Inputs!C139</f>
        <v/>
      </c>
      <c r="D18" s="33">
        <f>Inputs!D139</f>
        <v/>
      </c>
      <c r="E18" s="59" t="n"/>
      <c r="F18" s="59" t="n"/>
      <c r="G18" s="60" t="n"/>
      <c r="H18" s="60" t="n"/>
      <c r="I18" s="60" t="n"/>
      <c r="J18" s="60" t="n"/>
    </row>
    <row r="19">
      <c r="A19" s="33">
        <f>Inputs!A140</f>
        <v/>
      </c>
      <c r="B19" s="33">
        <f>Inputs!B140</f>
        <v/>
      </c>
      <c r="C19" s="33">
        <f>Inputs!C140</f>
        <v/>
      </c>
      <c r="D19" s="33">
        <f>Inputs!D140</f>
        <v/>
      </c>
      <c r="E19" s="59" t="n"/>
      <c r="F19" s="59" t="n"/>
      <c r="G19" s="60" t="n"/>
      <c r="H19" s="60" t="n"/>
      <c r="I19" s="60" t="n"/>
      <c r="J19" s="60" t="n"/>
    </row>
    <row r="20">
      <c r="A20" s="33">
        <f>Inputs!A141</f>
        <v/>
      </c>
      <c r="B20" s="33">
        <f>Inputs!B141</f>
        <v/>
      </c>
      <c r="C20" s="33">
        <f>Inputs!C141</f>
        <v/>
      </c>
      <c r="D20" s="33">
        <f>Inputs!D141</f>
        <v/>
      </c>
      <c r="E20" s="59" t="n"/>
      <c r="F20" s="59" t="n"/>
      <c r="G20" s="60" t="n"/>
      <c r="H20" s="60" t="n"/>
      <c r="I20" s="60" t="n"/>
      <c r="J20" s="60" t="n"/>
    </row>
    <row r="21">
      <c r="A21" s="33">
        <f>Inputs!A142</f>
        <v/>
      </c>
      <c r="B21" s="33">
        <f>Inputs!B142</f>
        <v/>
      </c>
      <c r="C21" s="33">
        <f>Inputs!C142</f>
        <v/>
      </c>
      <c r="D21" s="33">
        <f>Inputs!D142</f>
        <v/>
      </c>
      <c r="E21" s="59" t="n"/>
      <c r="F21" s="59" t="n"/>
      <c r="G21" s="60" t="n"/>
      <c r="H21" s="60" t="n"/>
      <c r="I21" s="60" t="n"/>
      <c r="J21" s="60" t="n"/>
    </row>
    <row r="22">
      <c r="A22" s="33">
        <f>Inputs!A143</f>
        <v/>
      </c>
      <c r="B22" s="33">
        <f>Inputs!B143</f>
        <v/>
      </c>
      <c r="C22" s="33">
        <f>Inputs!C143</f>
        <v/>
      </c>
      <c r="D22" s="33">
        <f>Inputs!D143</f>
        <v/>
      </c>
      <c r="E22" s="59" t="n"/>
      <c r="F22" s="59" t="n"/>
      <c r="G22" s="60" t="n"/>
      <c r="H22" s="60" t="n"/>
      <c r="I22" s="60" t="n"/>
      <c r="J22" s="60" t="n"/>
    </row>
    <row r="23">
      <c r="A23" s="33">
        <f>Inputs!A144</f>
        <v/>
      </c>
      <c r="B23" s="33">
        <f>Inputs!B144</f>
        <v/>
      </c>
      <c r="C23" s="33">
        <f>Inputs!C144</f>
        <v/>
      </c>
      <c r="D23" s="33">
        <f>Inputs!D144</f>
        <v/>
      </c>
      <c r="E23" s="59" t="n"/>
      <c r="F23" s="59" t="n"/>
      <c r="G23" s="60" t="n"/>
      <c r="H23" s="60" t="n"/>
      <c r="I23" s="60" t="n"/>
      <c r="J23" s="60" t="n"/>
    </row>
    <row r="24">
      <c r="A24" s="33">
        <f>Inputs!A145</f>
        <v/>
      </c>
      <c r="B24" s="33">
        <f>Inputs!B145</f>
        <v/>
      </c>
      <c r="C24" s="33">
        <f>Inputs!C145</f>
        <v/>
      </c>
      <c r="D24" s="33">
        <f>Inputs!D145</f>
        <v/>
      </c>
      <c r="E24" s="59" t="n"/>
      <c r="F24" s="59" t="n"/>
      <c r="G24" s="60" t="n"/>
      <c r="H24" s="60" t="n"/>
      <c r="I24" s="60" t="n"/>
      <c r="J24" s="60" t="n"/>
    </row>
    <row r="25">
      <c r="A25" s="33">
        <f>Inputs!A146</f>
        <v/>
      </c>
      <c r="B25" s="33">
        <f>Inputs!B146</f>
        <v/>
      </c>
      <c r="C25" s="33">
        <f>Inputs!C146</f>
        <v/>
      </c>
      <c r="D25" s="33">
        <f>Inputs!D146</f>
        <v/>
      </c>
      <c r="E25" s="59" t="n"/>
      <c r="F25" s="59" t="n"/>
      <c r="G25" s="60" t="n"/>
      <c r="H25" s="60" t="n"/>
      <c r="I25" s="60" t="n"/>
      <c r="J25" s="60" t="n"/>
    </row>
    <row r="26">
      <c r="A26" s="33">
        <f>Inputs!A147</f>
        <v/>
      </c>
      <c r="B26" s="33">
        <f>Inputs!B147</f>
        <v/>
      </c>
      <c r="C26" s="33">
        <f>Inputs!C147</f>
        <v/>
      </c>
      <c r="D26" s="33">
        <f>Inputs!D147</f>
        <v/>
      </c>
      <c r="E26" s="59" t="n"/>
      <c r="F26" s="59" t="n"/>
      <c r="G26" s="60" t="n"/>
      <c r="H26" s="60" t="n"/>
      <c r="I26" s="60" t="n"/>
      <c r="J26" s="60" t="n"/>
    </row>
    <row r="27">
      <c r="A27" s="33">
        <f>Inputs!A148</f>
        <v/>
      </c>
      <c r="B27" s="33">
        <f>Inputs!B148</f>
        <v/>
      </c>
      <c r="C27" s="33">
        <f>Inputs!C148</f>
        <v/>
      </c>
      <c r="D27" s="33">
        <f>Inputs!D148</f>
        <v/>
      </c>
      <c r="E27" s="59" t="n"/>
      <c r="F27" s="59" t="n"/>
      <c r="G27" s="60" t="n"/>
      <c r="H27" s="60" t="n"/>
      <c r="I27" s="60" t="n"/>
      <c r="J27" s="60" t="n"/>
    </row>
    <row r="28">
      <c r="A28" s="33">
        <f>Inputs!A149</f>
        <v/>
      </c>
      <c r="B28" s="33">
        <f>Inputs!B149</f>
        <v/>
      </c>
      <c r="C28" s="33">
        <f>Inputs!C149</f>
        <v/>
      </c>
      <c r="D28" s="33">
        <f>Inputs!D149</f>
        <v/>
      </c>
      <c r="E28" s="59" t="n"/>
      <c r="F28" s="59" t="n"/>
      <c r="G28" s="60" t="n"/>
      <c r="H28" s="60" t="n"/>
      <c r="I28" s="60" t="n"/>
      <c r="J28" s="60" t="n"/>
    </row>
    <row r="29">
      <c r="A29" s="33">
        <f>Inputs!A150</f>
        <v/>
      </c>
      <c r="B29" s="33">
        <f>Inputs!B150</f>
        <v/>
      </c>
      <c r="C29" s="33">
        <f>Inputs!C150</f>
        <v/>
      </c>
      <c r="D29" s="33">
        <f>Inputs!D150</f>
        <v/>
      </c>
      <c r="E29" s="59" t="n"/>
      <c r="F29" s="59" t="n"/>
      <c r="G29" s="60" t="n"/>
      <c r="H29" s="60" t="n"/>
      <c r="I29" s="60" t="n"/>
      <c r="J29" s="60" t="n"/>
    </row>
    <row r="30">
      <c r="A30" s="33">
        <f>Inputs!A151</f>
        <v/>
      </c>
      <c r="B30" s="33">
        <f>Inputs!B151</f>
        <v/>
      </c>
      <c r="C30" s="33">
        <f>Inputs!C151</f>
        <v/>
      </c>
      <c r="D30" s="33">
        <f>Inputs!D151</f>
        <v/>
      </c>
      <c r="E30" s="59" t="n"/>
      <c r="F30" s="59" t="n"/>
      <c r="G30" s="60" t="n"/>
      <c r="H30" s="60" t="n"/>
      <c r="I30" s="60" t="n"/>
      <c r="J30" s="60" t="n"/>
    </row>
    <row r="31">
      <c r="A31" s="33">
        <f>Inputs!A152</f>
        <v/>
      </c>
      <c r="B31" s="33">
        <f>Inputs!B152</f>
        <v/>
      </c>
      <c r="C31" s="33">
        <f>Inputs!C152</f>
        <v/>
      </c>
      <c r="D31" s="33">
        <f>Inputs!D152</f>
        <v/>
      </c>
      <c r="E31" s="59" t="n"/>
      <c r="F31" s="59" t="n"/>
      <c r="G31" s="60" t="n"/>
      <c r="H31" s="60" t="n"/>
      <c r="I31" s="60" t="n"/>
      <c r="J31" s="60" t="n"/>
    </row>
    <row r="32">
      <c r="A32" s="33">
        <f>Inputs!A153</f>
        <v/>
      </c>
      <c r="B32" s="33">
        <f>Inputs!B153</f>
        <v/>
      </c>
      <c r="C32" s="33">
        <f>Inputs!C153</f>
        <v/>
      </c>
      <c r="D32" s="33">
        <f>Inputs!D153</f>
        <v/>
      </c>
      <c r="E32" s="59" t="n"/>
      <c r="F32" s="59" t="n"/>
      <c r="G32" s="60" t="n"/>
      <c r="H32" s="60" t="n"/>
      <c r="I32" s="60" t="n"/>
      <c r="J32" s="60" t="n"/>
    </row>
    <row r="33">
      <c r="A33" s="33">
        <f>Inputs!A154</f>
        <v/>
      </c>
      <c r="B33" s="33">
        <f>Inputs!B154</f>
        <v/>
      </c>
      <c r="C33" s="33">
        <f>Inputs!C154</f>
        <v/>
      </c>
      <c r="D33" s="33">
        <f>Inputs!D154</f>
        <v/>
      </c>
      <c r="E33" s="59" t="n"/>
      <c r="F33" s="59" t="n"/>
      <c r="G33" s="60" t="n"/>
      <c r="H33" s="60" t="n"/>
      <c r="I33" s="60" t="n"/>
      <c r="J33" s="60" t="n"/>
    </row>
    <row r="34">
      <c r="A34" s="33">
        <f>Inputs!A155</f>
        <v/>
      </c>
      <c r="B34" s="33">
        <f>Inputs!B155</f>
        <v/>
      </c>
      <c r="C34" s="33">
        <f>Inputs!C155</f>
        <v/>
      </c>
      <c r="D34" s="33">
        <f>Inputs!D155</f>
        <v/>
      </c>
      <c r="E34" s="59" t="n"/>
      <c r="F34" s="59" t="n"/>
      <c r="G34" s="60" t="n"/>
      <c r="H34" s="60" t="n"/>
      <c r="I34" s="60" t="n"/>
      <c r="J34" s="60" t="n"/>
    </row>
    <row r="35">
      <c r="A35" s="33">
        <f>Inputs!A156</f>
        <v/>
      </c>
      <c r="B35" s="33">
        <f>Inputs!B156</f>
        <v/>
      </c>
      <c r="C35" s="33">
        <f>Inputs!C156</f>
        <v/>
      </c>
      <c r="D35" s="33">
        <f>Inputs!D156</f>
        <v/>
      </c>
      <c r="E35" s="59" t="n"/>
      <c r="F35" s="59" t="n"/>
      <c r="G35" s="60" t="n"/>
      <c r="H35" s="60" t="n"/>
      <c r="I35" s="60" t="n"/>
      <c r="J35" s="60" t="n"/>
    </row>
    <row r="37">
      <c r="D37" s="45" t="inlineStr">
        <is>
          <t>Maximum</t>
        </is>
      </c>
      <c r="E37" s="61">
        <f>IFERROR(MAX(E6:E35),"n/a")</f>
        <v/>
      </c>
      <c r="F37" s="61">
        <f>IFERROR(MAX(F6:F35),"n/a")</f>
        <v/>
      </c>
      <c r="G37" s="62">
        <f>IFERROR(MAX(G6:G35),"n/a")</f>
        <v/>
      </c>
      <c r="H37" s="62">
        <f>IFERROR(MAX(H6:H35),"n/a")</f>
        <v/>
      </c>
      <c r="I37" s="62">
        <f>IFERROR(MAX(I6:I35),"n/a")</f>
        <v/>
      </c>
      <c r="J37" s="62">
        <f>IFERROR(MAX(J6:J35),"n/a")</f>
        <v/>
      </c>
    </row>
    <row r="38">
      <c r="D38" s="45" t="inlineStr">
        <is>
          <t>Q3 (75%)</t>
        </is>
      </c>
      <c r="E38" s="61">
        <f>IFERROR(QUARTILE(E6:E35,3),"n/a")</f>
        <v/>
      </c>
      <c r="F38" s="61">
        <f>IFERROR(QUARTILE(F6:F35,3),"n/a")</f>
        <v/>
      </c>
      <c r="G38" s="62">
        <f>IFERROR(QUARTILE(G6:G35,3),"n/a")</f>
        <v/>
      </c>
      <c r="H38" s="62">
        <f>IFERROR(QUARTILE(H6:H35,3),"n/a")</f>
        <v/>
      </c>
      <c r="I38" s="62">
        <f>IFERROR(QUARTILE(I6:I35,3),"n/a")</f>
        <v/>
      </c>
      <c r="J38" s="62">
        <f>IFERROR(QUARTILE(J6:J35,3),"n/a")</f>
        <v/>
      </c>
    </row>
    <row r="39">
      <c r="D39" s="45" t="inlineStr">
        <is>
          <t>Median</t>
        </is>
      </c>
      <c r="E39" s="63">
        <f>IFERROR(MEDIAN(E6:E35),"n/a")</f>
        <v/>
      </c>
      <c r="F39" s="63">
        <f>IFERROR(MEDIAN(F6:F35),"n/a")</f>
        <v/>
      </c>
      <c r="G39" s="64">
        <f>IFERROR(MEDIAN(G6:G35),"n/a")</f>
        <v/>
      </c>
      <c r="H39" s="64">
        <f>IFERROR(MEDIAN(H6:H35),"n/a")</f>
        <v/>
      </c>
      <c r="I39" s="64">
        <f>IFERROR(MEDIAN(I6:I35),"n/a")</f>
        <v/>
      </c>
      <c r="J39" s="64">
        <f>IFERROR(MEDIAN(J6:J35),"n/a")</f>
        <v/>
      </c>
    </row>
    <row r="40">
      <c r="D40" s="45" t="inlineStr">
        <is>
          <t>Mean</t>
        </is>
      </c>
      <c r="E40" s="61">
        <f>IFERROR(AVERAGE(E6:E35),"n/a")</f>
        <v/>
      </c>
      <c r="F40" s="61">
        <f>IFERROR(AVERAGE(F6:F35),"n/a")</f>
        <v/>
      </c>
      <c r="G40" s="62">
        <f>IFERROR(AVERAGE(G6:G35),"n/a")</f>
        <v/>
      </c>
      <c r="H40" s="62">
        <f>IFERROR(AVERAGE(H6:H35),"n/a")</f>
        <v/>
      </c>
      <c r="I40" s="62">
        <f>IFERROR(AVERAGE(I6:I35),"n/a")</f>
        <v/>
      </c>
      <c r="J40" s="62">
        <f>IFERROR(AVERAGE(J6:J35),"n/a")</f>
        <v/>
      </c>
    </row>
    <row r="41">
      <c r="D41" s="45" t="inlineStr">
        <is>
          <t>Q1 (25%)</t>
        </is>
      </c>
      <c r="E41" s="61">
        <f>IFERROR(QUARTILE(E6:E35,1),"n/a")</f>
        <v/>
      </c>
      <c r="F41" s="61">
        <f>IFERROR(QUARTILE(F6:F35,1),"n/a")</f>
        <v/>
      </c>
      <c r="G41" s="62">
        <f>IFERROR(QUARTILE(G6:G35,1),"n/a")</f>
        <v/>
      </c>
      <c r="H41" s="62">
        <f>IFERROR(QUARTILE(H6:H35,1),"n/a")</f>
        <v/>
      </c>
      <c r="I41" s="62">
        <f>IFERROR(QUARTILE(I6:I35,1),"n/a")</f>
        <v/>
      </c>
      <c r="J41" s="62">
        <f>IFERROR(QUARTILE(J6:J35,1),"n/a")</f>
        <v/>
      </c>
    </row>
    <row r="42">
      <c r="D42" s="45" t="inlineStr">
        <is>
          <t>Minimum</t>
        </is>
      </c>
      <c r="E42" s="61">
        <f>IFERROR(MIN(E6:E35),"n/a")</f>
        <v/>
      </c>
      <c r="F42" s="61">
        <f>IFERROR(MIN(F6:F35),"n/a")</f>
        <v/>
      </c>
      <c r="G42" s="62">
        <f>IFERROR(MIN(G6:G35),"n/a")</f>
        <v/>
      </c>
      <c r="H42" s="62">
        <f>IFERROR(MIN(H6:H35),"n/a")</f>
        <v/>
      </c>
      <c r="I42" s="62">
        <f>IFERROR(MIN(I6:I35),"n/a")</f>
        <v/>
      </c>
      <c r="J42" s="62">
        <f>IFERROR(MIN(J6:J35),"n/a")</f>
        <v/>
      </c>
    </row>
    <row r="44">
      <c r="D44" s="3" t="inlineStr">
        <is>
          <t>Tier-filtered (include=TRUE)</t>
        </is>
      </c>
    </row>
    <row r="45">
      <c r="D45" s="4" t="inlineStr">
        <is>
          <t>Tier 1 mean</t>
        </is>
      </c>
      <c r="E45" s="49">
        <f>IFERROR(AVERAGEIFS(E6:E35,$A$6:$A$35,1,$B$6:$B$35,TRUE),"n/a")</f>
        <v/>
      </c>
      <c r="F45" s="49">
        <f>IFERROR(AVERAGEIFS(F6:F35,$A$6:$A$35,1,$B$6:$B$35,TRUE),"n/a")</f>
        <v/>
      </c>
      <c r="G45" s="65">
        <f>IFERROR(AVERAGEIFS(G6:G35,$A$6:$A$35,1,$B$6:$B$35,TRUE),"n/a")</f>
        <v/>
      </c>
      <c r="H45" s="65">
        <f>IFERROR(AVERAGEIFS(H6:H35,$A$6:$A$35,1,$B$6:$B$35,TRUE),"n/a")</f>
        <v/>
      </c>
      <c r="I45" s="65">
        <f>IFERROR(AVERAGEIFS(I6:I35,$A$6:$A$35,1,$B$6:$B$35,TRUE),"n/a")</f>
        <v/>
      </c>
      <c r="J45" s="65">
        <f>IFERROR(AVERAGEIFS(J6:J35,$A$6:$A$35,1,$B$6:$B$35,TRUE),"n/a")</f>
        <v/>
      </c>
    </row>
    <row r="46">
      <c r="D46" s="4" t="inlineStr">
        <is>
          <t>Tier 2 mean</t>
        </is>
      </c>
      <c r="E46" s="49">
        <f>IFERROR(AVERAGEIFS(E6:E35,$A$6:$A$35,2,$B$6:$B$35,TRUE),"n/a")</f>
        <v/>
      </c>
      <c r="F46" s="49">
        <f>IFERROR(AVERAGEIFS(F6:F35,$A$6:$A$35,2,$B$6:$B$35,TRUE),"n/a")</f>
        <v/>
      </c>
      <c r="G46" s="65">
        <f>IFERROR(AVERAGEIFS(G6:G35,$A$6:$A$35,2,$B$6:$B$35,TRUE),"n/a")</f>
        <v/>
      </c>
      <c r="H46" s="65">
        <f>IFERROR(AVERAGEIFS(H6:H35,$A$6:$A$35,2,$B$6:$B$35,TRUE),"n/a")</f>
        <v/>
      </c>
      <c r="I46" s="65">
        <f>IFERROR(AVERAGEIFS(I6:I35,$A$6:$A$35,2,$B$6:$B$35,TRUE),"n/a")</f>
        <v/>
      </c>
      <c r="J46" s="65">
        <f>IFERROR(AVERAGEIFS(J6:J35,$A$6:$A$35,2,$B$6:$B$35,TRUE),"n/a")</f>
        <v/>
      </c>
    </row>
    <row r="47">
      <c r="D47" s="4" t="inlineStr">
        <is>
          <t>Tier 3 mean</t>
        </is>
      </c>
      <c r="E47" s="49">
        <f>IFERROR(AVERAGEIFS(E6:E35,$A$6:$A$35,3,$B$6:$B$35,TRUE),"n/a")</f>
        <v/>
      </c>
      <c r="F47" s="49">
        <f>IFERROR(AVERAGEIFS(F6:F35,$A$6:$A$35,3,$B$6:$B$35,TRUE),"n/a")</f>
        <v/>
      </c>
      <c r="G47" s="65">
        <f>IFERROR(AVERAGEIFS(G6:G35,$A$6:$A$35,3,$B$6:$B$35,TRUE),"n/a")</f>
        <v/>
      </c>
      <c r="H47" s="65">
        <f>IFERROR(AVERAGEIFS(H6:H35,$A$6:$A$35,3,$B$6:$B$35,TRUE),"n/a")</f>
        <v/>
      </c>
      <c r="I47" s="65">
        <f>IFERROR(AVERAGEIFS(I6:I35,$A$6:$A$35,3,$B$6:$B$35,TRUE),"n/a")</f>
        <v/>
      </c>
      <c r="J47" s="65">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6" t="n"/>
      <c r="F6" s="66" t="n"/>
      <c r="G6" s="66" t="n"/>
    </row>
    <row r="7">
      <c r="A7" s="33">
        <f>Inputs!A128</f>
        <v/>
      </c>
      <c r="B7" s="33">
        <f>Inputs!B128</f>
        <v/>
      </c>
      <c r="C7" s="33">
        <f>Inputs!C128</f>
        <v/>
      </c>
      <c r="D7" s="33">
        <f>Inputs!D128</f>
        <v/>
      </c>
      <c r="E7" s="66" t="n"/>
      <c r="F7" s="66" t="n"/>
      <c r="G7" s="66" t="n"/>
    </row>
    <row r="8">
      <c r="A8" s="33">
        <f>Inputs!A129</f>
        <v/>
      </c>
      <c r="B8" s="33">
        <f>Inputs!B129</f>
        <v/>
      </c>
      <c r="C8" s="33">
        <f>Inputs!C129</f>
        <v/>
      </c>
      <c r="D8" s="33">
        <f>Inputs!D129</f>
        <v/>
      </c>
      <c r="E8" s="66" t="n"/>
      <c r="F8" s="66" t="n"/>
      <c r="G8" s="66" t="n"/>
    </row>
    <row r="9">
      <c r="A9" s="33">
        <f>Inputs!A130</f>
        <v/>
      </c>
      <c r="B9" s="33">
        <f>Inputs!B130</f>
        <v/>
      </c>
      <c r="C9" s="33">
        <f>Inputs!C130</f>
        <v/>
      </c>
      <c r="D9" s="33">
        <f>Inputs!D130</f>
        <v/>
      </c>
      <c r="E9" s="66" t="n"/>
      <c r="F9" s="66" t="n"/>
      <c r="G9" s="66" t="n"/>
    </row>
    <row r="10">
      <c r="A10" s="33">
        <f>Inputs!A131</f>
        <v/>
      </c>
      <c r="B10" s="33">
        <f>Inputs!B131</f>
        <v/>
      </c>
      <c r="C10" s="33">
        <f>Inputs!C131</f>
        <v/>
      </c>
      <c r="D10" s="33">
        <f>Inputs!D131</f>
        <v/>
      </c>
      <c r="E10" s="66" t="n"/>
      <c r="F10" s="66" t="n"/>
      <c r="G10" s="66" t="n"/>
    </row>
    <row r="11">
      <c r="A11" s="33">
        <f>Inputs!A132</f>
        <v/>
      </c>
      <c r="B11" s="33">
        <f>Inputs!B132</f>
        <v/>
      </c>
      <c r="C11" s="33">
        <f>Inputs!C132</f>
        <v/>
      </c>
      <c r="D11" s="33">
        <f>Inputs!D132</f>
        <v/>
      </c>
      <c r="E11" s="66" t="n"/>
      <c r="F11" s="66" t="n"/>
      <c r="G11" s="66" t="n"/>
    </row>
    <row r="12">
      <c r="A12" s="33">
        <f>Inputs!A133</f>
        <v/>
      </c>
      <c r="B12" s="33">
        <f>Inputs!B133</f>
        <v/>
      </c>
      <c r="C12" s="33">
        <f>Inputs!C133</f>
        <v/>
      </c>
      <c r="D12" s="33">
        <f>Inputs!D133</f>
        <v/>
      </c>
      <c r="E12" s="66" t="n"/>
      <c r="F12" s="66" t="n"/>
      <c r="G12" s="66" t="n"/>
    </row>
    <row r="13">
      <c r="A13" s="33">
        <f>Inputs!A134</f>
        <v/>
      </c>
      <c r="B13" s="33">
        <f>Inputs!B134</f>
        <v/>
      </c>
      <c r="C13" s="33">
        <f>Inputs!C134</f>
        <v/>
      </c>
      <c r="D13" s="33">
        <f>Inputs!D134</f>
        <v/>
      </c>
      <c r="E13" s="66" t="n"/>
      <c r="F13" s="66" t="n"/>
      <c r="G13" s="66" t="n"/>
    </row>
    <row r="14">
      <c r="A14" s="33">
        <f>Inputs!A135</f>
        <v/>
      </c>
      <c r="B14" s="33">
        <f>Inputs!B135</f>
        <v/>
      </c>
      <c r="C14" s="33">
        <f>Inputs!C135</f>
        <v/>
      </c>
      <c r="D14" s="33">
        <f>Inputs!D135</f>
        <v/>
      </c>
      <c r="E14" s="66" t="n"/>
      <c r="F14" s="66" t="n"/>
      <c r="G14" s="66" t="n"/>
    </row>
    <row r="15">
      <c r="A15" s="33">
        <f>Inputs!A136</f>
        <v/>
      </c>
      <c r="B15" s="33">
        <f>Inputs!B136</f>
        <v/>
      </c>
      <c r="C15" s="33">
        <f>Inputs!C136</f>
        <v/>
      </c>
      <c r="D15" s="33">
        <f>Inputs!D136</f>
        <v/>
      </c>
      <c r="E15" s="66" t="n"/>
      <c r="F15" s="66" t="n"/>
      <c r="G15" s="66" t="n"/>
    </row>
    <row r="16">
      <c r="A16" s="33">
        <f>Inputs!A137</f>
        <v/>
      </c>
      <c r="B16" s="33">
        <f>Inputs!B137</f>
        <v/>
      </c>
      <c r="C16" s="33">
        <f>Inputs!C137</f>
        <v/>
      </c>
      <c r="D16" s="33">
        <f>Inputs!D137</f>
        <v/>
      </c>
      <c r="E16" s="66" t="n"/>
      <c r="F16" s="66" t="n"/>
      <c r="G16" s="66" t="n"/>
    </row>
    <row r="17">
      <c r="A17" s="33">
        <f>Inputs!A138</f>
        <v/>
      </c>
      <c r="B17" s="33">
        <f>Inputs!B138</f>
        <v/>
      </c>
      <c r="C17" s="33">
        <f>Inputs!C138</f>
        <v/>
      </c>
      <c r="D17" s="33">
        <f>Inputs!D138</f>
        <v/>
      </c>
      <c r="E17" s="66" t="n"/>
      <c r="F17" s="66" t="n"/>
      <c r="G17" s="66" t="n"/>
    </row>
    <row r="18">
      <c r="A18" s="33">
        <f>Inputs!A139</f>
        <v/>
      </c>
      <c r="B18" s="33">
        <f>Inputs!B139</f>
        <v/>
      </c>
      <c r="C18" s="33">
        <f>Inputs!C139</f>
        <v/>
      </c>
      <c r="D18" s="33">
        <f>Inputs!D139</f>
        <v/>
      </c>
      <c r="E18" s="66" t="n"/>
      <c r="F18" s="66" t="n"/>
      <c r="G18" s="66" t="n"/>
    </row>
    <row r="19">
      <c r="A19" s="33">
        <f>Inputs!A140</f>
        <v/>
      </c>
      <c r="B19" s="33">
        <f>Inputs!B140</f>
        <v/>
      </c>
      <c r="C19" s="33">
        <f>Inputs!C140</f>
        <v/>
      </c>
      <c r="D19" s="33">
        <f>Inputs!D140</f>
        <v/>
      </c>
      <c r="E19" s="66" t="n"/>
      <c r="F19" s="66" t="n"/>
      <c r="G19" s="66" t="n"/>
    </row>
    <row r="20">
      <c r="A20" s="33">
        <f>Inputs!A141</f>
        <v/>
      </c>
      <c r="B20" s="33">
        <f>Inputs!B141</f>
        <v/>
      </c>
      <c r="C20" s="33">
        <f>Inputs!C141</f>
        <v/>
      </c>
      <c r="D20" s="33">
        <f>Inputs!D141</f>
        <v/>
      </c>
      <c r="E20" s="66" t="n"/>
      <c r="F20" s="66" t="n"/>
      <c r="G20" s="66" t="n"/>
    </row>
    <row r="21">
      <c r="A21" s="33">
        <f>Inputs!A142</f>
        <v/>
      </c>
      <c r="B21" s="33">
        <f>Inputs!B142</f>
        <v/>
      </c>
      <c r="C21" s="33">
        <f>Inputs!C142</f>
        <v/>
      </c>
      <c r="D21" s="33">
        <f>Inputs!D142</f>
        <v/>
      </c>
      <c r="E21" s="66" t="n"/>
      <c r="F21" s="66" t="n"/>
      <c r="G21" s="66" t="n"/>
    </row>
    <row r="22">
      <c r="A22" s="33">
        <f>Inputs!A143</f>
        <v/>
      </c>
      <c r="B22" s="33">
        <f>Inputs!B143</f>
        <v/>
      </c>
      <c r="C22" s="33">
        <f>Inputs!C143</f>
        <v/>
      </c>
      <c r="D22" s="33">
        <f>Inputs!D143</f>
        <v/>
      </c>
      <c r="E22" s="66" t="n"/>
      <c r="F22" s="66" t="n"/>
      <c r="G22" s="66" t="n"/>
    </row>
    <row r="23">
      <c r="A23" s="33">
        <f>Inputs!A144</f>
        <v/>
      </c>
      <c r="B23" s="33">
        <f>Inputs!B144</f>
        <v/>
      </c>
      <c r="C23" s="33">
        <f>Inputs!C144</f>
        <v/>
      </c>
      <c r="D23" s="33">
        <f>Inputs!D144</f>
        <v/>
      </c>
      <c r="E23" s="66" t="n"/>
      <c r="F23" s="66" t="n"/>
      <c r="G23" s="66" t="n"/>
    </row>
    <row r="24">
      <c r="A24" s="33">
        <f>Inputs!A145</f>
        <v/>
      </c>
      <c r="B24" s="33">
        <f>Inputs!B145</f>
        <v/>
      </c>
      <c r="C24" s="33">
        <f>Inputs!C145</f>
        <v/>
      </c>
      <c r="D24" s="33">
        <f>Inputs!D145</f>
        <v/>
      </c>
      <c r="E24" s="66" t="n"/>
      <c r="F24" s="66" t="n"/>
      <c r="G24" s="66" t="n"/>
    </row>
    <row r="25">
      <c r="A25" s="33">
        <f>Inputs!A146</f>
        <v/>
      </c>
      <c r="B25" s="33">
        <f>Inputs!B146</f>
        <v/>
      </c>
      <c r="C25" s="33">
        <f>Inputs!C146</f>
        <v/>
      </c>
      <c r="D25" s="33">
        <f>Inputs!D146</f>
        <v/>
      </c>
      <c r="E25" s="66" t="n"/>
      <c r="F25" s="66" t="n"/>
      <c r="G25" s="66" t="n"/>
    </row>
    <row r="26">
      <c r="A26" s="33">
        <f>Inputs!A147</f>
        <v/>
      </c>
      <c r="B26" s="33">
        <f>Inputs!B147</f>
        <v/>
      </c>
      <c r="C26" s="33">
        <f>Inputs!C147</f>
        <v/>
      </c>
      <c r="D26" s="33">
        <f>Inputs!D147</f>
        <v/>
      </c>
      <c r="E26" s="66" t="n"/>
      <c r="F26" s="66" t="n"/>
      <c r="G26" s="66" t="n"/>
    </row>
    <row r="27">
      <c r="A27" s="33">
        <f>Inputs!A148</f>
        <v/>
      </c>
      <c r="B27" s="33">
        <f>Inputs!B148</f>
        <v/>
      </c>
      <c r="C27" s="33">
        <f>Inputs!C148</f>
        <v/>
      </c>
      <c r="D27" s="33">
        <f>Inputs!D148</f>
        <v/>
      </c>
      <c r="E27" s="66" t="n"/>
      <c r="F27" s="66" t="n"/>
      <c r="G27" s="66" t="n"/>
    </row>
    <row r="28">
      <c r="A28" s="33">
        <f>Inputs!A149</f>
        <v/>
      </c>
      <c r="B28" s="33">
        <f>Inputs!B149</f>
        <v/>
      </c>
      <c r="C28" s="33">
        <f>Inputs!C149</f>
        <v/>
      </c>
      <c r="D28" s="33">
        <f>Inputs!D149</f>
        <v/>
      </c>
      <c r="E28" s="66" t="n"/>
      <c r="F28" s="66" t="n"/>
      <c r="G28" s="66" t="n"/>
    </row>
    <row r="29">
      <c r="A29" s="33">
        <f>Inputs!A150</f>
        <v/>
      </c>
      <c r="B29" s="33">
        <f>Inputs!B150</f>
        <v/>
      </c>
      <c r="C29" s="33">
        <f>Inputs!C150</f>
        <v/>
      </c>
      <c r="D29" s="33">
        <f>Inputs!D150</f>
        <v/>
      </c>
      <c r="E29" s="66" t="n"/>
      <c r="F29" s="66" t="n"/>
      <c r="G29" s="66" t="n"/>
    </row>
    <row r="30">
      <c r="A30" s="33">
        <f>Inputs!A151</f>
        <v/>
      </c>
      <c r="B30" s="33">
        <f>Inputs!B151</f>
        <v/>
      </c>
      <c r="C30" s="33">
        <f>Inputs!C151</f>
        <v/>
      </c>
      <c r="D30" s="33">
        <f>Inputs!D151</f>
        <v/>
      </c>
      <c r="E30" s="66" t="n"/>
      <c r="F30" s="66" t="n"/>
      <c r="G30" s="66" t="n"/>
    </row>
    <row r="31">
      <c r="A31" s="33">
        <f>Inputs!A152</f>
        <v/>
      </c>
      <c r="B31" s="33">
        <f>Inputs!B152</f>
        <v/>
      </c>
      <c r="C31" s="33">
        <f>Inputs!C152</f>
        <v/>
      </c>
      <c r="D31" s="33">
        <f>Inputs!D152</f>
        <v/>
      </c>
      <c r="E31" s="66" t="n"/>
      <c r="F31" s="66" t="n"/>
      <c r="G31" s="66" t="n"/>
    </row>
    <row r="32">
      <c r="A32" s="33">
        <f>Inputs!A153</f>
        <v/>
      </c>
      <c r="B32" s="33">
        <f>Inputs!B153</f>
        <v/>
      </c>
      <c r="C32" s="33">
        <f>Inputs!C153</f>
        <v/>
      </c>
      <c r="D32" s="33">
        <f>Inputs!D153</f>
        <v/>
      </c>
      <c r="E32" s="66" t="n"/>
      <c r="F32" s="66" t="n"/>
      <c r="G32" s="66" t="n"/>
    </row>
    <row r="33">
      <c r="A33" s="33">
        <f>Inputs!A154</f>
        <v/>
      </c>
      <c r="B33" s="33">
        <f>Inputs!B154</f>
        <v/>
      </c>
      <c r="C33" s="33">
        <f>Inputs!C154</f>
        <v/>
      </c>
      <c r="D33" s="33">
        <f>Inputs!D154</f>
        <v/>
      </c>
      <c r="E33" s="66" t="n"/>
      <c r="F33" s="66" t="n"/>
      <c r="G33" s="66" t="n"/>
    </row>
    <row r="34">
      <c r="A34" s="33">
        <f>Inputs!A155</f>
        <v/>
      </c>
      <c r="B34" s="33">
        <f>Inputs!B155</f>
        <v/>
      </c>
      <c r="C34" s="33">
        <f>Inputs!C155</f>
        <v/>
      </c>
      <c r="D34" s="33">
        <f>Inputs!D155</f>
        <v/>
      </c>
      <c r="E34" s="66" t="n"/>
      <c r="F34" s="66" t="n"/>
      <c r="G34" s="66" t="n"/>
    </row>
    <row r="35">
      <c r="A35" s="33">
        <f>Inputs!A156</f>
        <v/>
      </c>
      <c r="B35" s="33">
        <f>Inputs!B156</f>
        <v/>
      </c>
      <c r="C35" s="33">
        <f>Inputs!C156</f>
        <v/>
      </c>
      <c r="D35" s="33">
        <f>Inputs!D156</f>
        <v/>
      </c>
      <c r="E35" s="66" t="n"/>
      <c r="F35" s="66" t="n"/>
      <c r="G35" s="66" t="n"/>
    </row>
    <row r="37">
      <c r="D37" s="45" t="inlineStr">
        <is>
          <t>Maximum</t>
        </is>
      </c>
      <c r="E37" s="67">
        <f>IFERROR(MAX(E6:E35),"n/a")</f>
        <v/>
      </c>
      <c r="F37" s="67">
        <f>IFERROR(MAX(F6:F35),"n/a")</f>
        <v/>
      </c>
      <c r="G37" s="67">
        <f>IFERROR(MAX(G6:G35),"n/a")</f>
        <v/>
      </c>
    </row>
    <row r="38">
      <c r="D38" s="45" t="inlineStr">
        <is>
          <t>Q3 (75%)</t>
        </is>
      </c>
      <c r="E38" s="67">
        <f>IFERROR(QUARTILE(E6:E35,3),"n/a")</f>
        <v/>
      </c>
      <c r="F38" s="67">
        <f>IFERROR(QUARTILE(F6:F35,3),"n/a")</f>
        <v/>
      </c>
      <c r="G38" s="67">
        <f>IFERROR(QUARTILE(G6:G35,3),"n/a")</f>
        <v/>
      </c>
    </row>
    <row r="39">
      <c r="D39" s="45" t="inlineStr">
        <is>
          <t>Median</t>
        </is>
      </c>
      <c r="E39" s="68">
        <f>IFERROR(MEDIAN(E6:E35),"n/a")</f>
        <v/>
      </c>
      <c r="F39" s="68">
        <f>IFERROR(MEDIAN(F6:F35),"n/a")</f>
        <v/>
      </c>
      <c r="G39" s="68">
        <f>IFERROR(MEDIAN(G6:G35),"n/a")</f>
        <v/>
      </c>
    </row>
    <row r="40">
      <c r="D40" s="45" t="inlineStr">
        <is>
          <t>Mean</t>
        </is>
      </c>
      <c r="E40" s="67">
        <f>IFERROR(AVERAGE(E6:E35),"n/a")</f>
        <v/>
      </c>
      <c r="F40" s="67">
        <f>IFERROR(AVERAGE(F6:F35),"n/a")</f>
        <v/>
      </c>
      <c r="G40" s="67">
        <f>IFERROR(AVERAGE(G6:G35),"n/a")</f>
        <v/>
      </c>
    </row>
    <row r="41">
      <c r="D41" s="45" t="inlineStr">
        <is>
          <t>Q1 (25%)</t>
        </is>
      </c>
      <c r="E41" s="67">
        <f>IFERROR(QUARTILE(E6:E35,1),"n/a")</f>
        <v/>
      </c>
      <c r="F41" s="67">
        <f>IFERROR(QUARTILE(F6:F35,1),"n/a")</f>
        <v/>
      </c>
      <c r="G41" s="67">
        <f>IFERROR(QUARTILE(G6:G35,1),"n/a")</f>
        <v/>
      </c>
    </row>
    <row r="42">
      <c r="D42" s="45" t="inlineStr">
        <is>
          <t>Minimum</t>
        </is>
      </c>
      <c r="E42" s="67">
        <f>IFERROR(MIN(E6:E35),"n/a")</f>
        <v/>
      </c>
      <c r="F42" s="67">
        <f>IFERROR(MIN(F6:F35),"n/a")</f>
        <v/>
      </c>
      <c r="G42" s="67">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6" t="n"/>
      <c r="F6" s="66" t="n"/>
      <c r="G6" s="59" t="n"/>
      <c r="H6" s="59" t="n"/>
    </row>
    <row r="7">
      <c r="A7" s="33">
        <f>Inputs!A128</f>
        <v/>
      </c>
      <c r="B7" s="33">
        <f>Inputs!B128</f>
        <v/>
      </c>
      <c r="C7" s="33">
        <f>Inputs!C128</f>
        <v/>
      </c>
      <c r="D7" s="33">
        <f>Inputs!D128</f>
        <v/>
      </c>
      <c r="E7" s="66" t="n"/>
      <c r="F7" s="66" t="n"/>
      <c r="G7" s="59" t="n"/>
      <c r="H7" s="59" t="n"/>
    </row>
    <row r="8">
      <c r="A8" s="33">
        <f>Inputs!A129</f>
        <v/>
      </c>
      <c r="B8" s="33">
        <f>Inputs!B129</f>
        <v/>
      </c>
      <c r="C8" s="33">
        <f>Inputs!C129</f>
        <v/>
      </c>
      <c r="D8" s="33">
        <f>Inputs!D129</f>
        <v/>
      </c>
      <c r="E8" s="66" t="n"/>
      <c r="F8" s="66" t="n"/>
      <c r="G8" s="59" t="n"/>
      <c r="H8" s="59" t="n"/>
    </row>
    <row r="9">
      <c r="A9" s="33">
        <f>Inputs!A130</f>
        <v/>
      </c>
      <c r="B9" s="33">
        <f>Inputs!B130</f>
        <v/>
      </c>
      <c r="C9" s="33">
        <f>Inputs!C130</f>
        <v/>
      </c>
      <c r="D9" s="33">
        <f>Inputs!D130</f>
        <v/>
      </c>
      <c r="E9" s="66" t="n"/>
      <c r="F9" s="66" t="n"/>
      <c r="G9" s="59" t="n"/>
      <c r="H9" s="59" t="n"/>
    </row>
    <row r="10">
      <c r="A10" s="33">
        <f>Inputs!A131</f>
        <v/>
      </c>
      <c r="B10" s="33">
        <f>Inputs!B131</f>
        <v/>
      </c>
      <c r="C10" s="33">
        <f>Inputs!C131</f>
        <v/>
      </c>
      <c r="D10" s="33">
        <f>Inputs!D131</f>
        <v/>
      </c>
      <c r="E10" s="66" t="n"/>
      <c r="F10" s="66" t="n"/>
      <c r="G10" s="59" t="n"/>
      <c r="H10" s="59" t="n"/>
    </row>
    <row r="11">
      <c r="A11" s="33">
        <f>Inputs!A132</f>
        <v/>
      </c>
      <c r="B11" s="33">
        <f>Inputs!B132</f>
        <v/>
      </c>
      <c r="C11" s="33">
        <f>Inputs!C132</f>
        <v/>
      </c>
      <c r="D11" s="33">
        <f>Inputs!D132</f>
        <v/>
      </c>
      <c r="E11" s="66" t="n"/>
      <c r="F11" s="66" t="n"/>
      <c r="G11" s="59" t="n"/>
      <c r="H11" s="59" t="n"/>
    </row>
    <row r="12">
      <c r="A12" s="33">
        <f>Inputs!A133</f>
        <v/>
      </c>
      <c r="B12" s="33">
        <f>Inputs!B133</f>
        <v/>
      </c>
      <c r="C12" s="33">
        <f>Inputs!C133</f>
        <v/>
      </c>
      <c r="D12" s="33">
        <f>Inputs!D133</f>
        <v/>
      </c>
      <c r="E12" s="66" t="n"/>
      <c r="F12" s="66" t="n"/>
      <c r="G12" s="59" t="n"/>
      <c r="H12" s="59" t="n"/>
    </row>
    <row r="13">
      <c r="A13" s="33">
        <f>Inputs!A134</f>
        <v/>
      </c>
      <c r="B13" s="33">
        <f>Inputs!B134</f>
        <v/>
      </c>
      <c r="C13" s="33">
        <f>Inputs!C134</f>
        <v/>
      </c>
      <c r="D13" s="33">
        <f>Inputs!D134</f>
        <v/>
      </c>
      <c r="E13" s="66" t="n"/>
      <c r="F13" s="66" t="n"/>
      <c r="G13" s="59" t="n"/>
      <c r="H13" s="59" t="n"/>
    </row>
    <row r="14">
      <c r="A14" s="33">
        <f>Inputs!A135</f>
        <v/>
      </c>
      <c r="B14" s="33">
        <f>Inputs!B135</f>
        <v/>
      </c>
      <c r="C14" s="33">
        <f>Inputs!C135</f>
        <v/>
      </c>
      <c r="D14" s="33">
        <f>Inputs!D135</f>
        <v/>
      </c>
      <c r="E14" s="66" t="n"/>
      <c r="F14" s="66" t="n"/>
      <c r="G14" s="59" t="n"/>
      <c r="H14" s="59" t="n"/>
    </row>
    <row r="15">
      <c r="A15" s="33">
        <f>Inputs!A136</f>
        <v/>
      </c>
      <c r="B15" s="33">
        <f>Inputs!B136</f>
        <v/>
      </c>
      <c r="C15" s="33">
        <f>Inputs!C136</f>
        <v/>
      </c>
      <c r="D15" s="33">
        <f>Inputs!D136</f>
        <v/>
      </c>
      <c r="E15" s="66" t="n"/>
      <c r="F15" s="66" t="n"/>
      <c r="G15" s="59" t="n"/>
      <c r="H15" s="59" t="n"/>
    </row>
    <row r="16">
      <c r="A16" s="33">
        <f>Inputs!A137</f>
        <v/>
      </c>
      <c r="B16" s="33">
        <f>Inputs!B137</f>
        <v/>
      </c>
      <c r="C16" s="33">
        <f>Inputs!C137</f>
        <v/>
      </c>
      <c r="D16" s="33">
        <f>Inputs!D137</f>
        <v/>
      </c>
      <c r="E16" s="66" t="n"/>
      <c r="F16" s="66" t="n"/>
      <c r="G16" s="59" t="n"/>
      <c r="H16" s="59" t="n"/>
    </row>
    <row r="17">
      <c r="A17" s="33">
        <f>Inputs!A138</f>
        <v/>
      </c>
      <c r="B17" s="33">
        <f>Inputs!B138</f>
        <v/>
      </c>
      <c r="C17" s="33">
        <f>Inputs!C138</f>
        <v/>
      </c>
      <c r="D17" s="33">
        <f>Inputs!D138</f>
        <v/>
      </c>
      <c r="E17" s="66" t="n"/>
      <c r="F17" s="66" t="n"/>
      <c r="G17" s="59" t="n"/>
      <c r="H17" s="59" t="n"/>
    </row>
    <row r="18">
      <c r="A18" s="33">
        <f>Inputs!A139</f>
        <v/>
      </c>
      <c r="B18" s="33">
        <f>Inputs!B139</f>
        <v/>
      </c>
      <c r="C18" s="33">
        <f>Inputs!C139</f>
        <v/>
      </c>
      <c r="D18" s="33">
        <f>Inputs!D139</f>
        <v/>
      </c>
      <c r="E18" s="66" t="n"/>
      <c r="F18" s="66" t="n"/>
      <c r="G18" s="59" t="n"/>
      <c r="H18" s="59" t="n"/>
    </row>
    <row r="19">
      <c r="A19" s="33">
        <f>Inputs!A140</f>
        <v/>
      </c>
      <c r="B19" s="33">
        <f>Inputs!B140</f>
        <v/>
      </c>
      <c r="C19" s="33">
        <f>Inputs!C140</f>
        <v/>
      </c>
      <c r="D19" s="33">
        <f>Inputs!D140</f>
        <v/>
      </c>
      <c r="E19" s="66" t="n"/>
      <c r="F19" s="66" t="n"/>
      <c r="G19" s="59" t="n"/>
      <c r="H19" s="59" t="n"/>
    </row>
    <row r="20">
      <c r="A20" s="33">
        <f>Inputs!A141</f>
        <v/>
      </c>
      <c r="B20" s="33">
        <f>Inputs!B141</f>
        <v/>
      </c>
      <c r="C20" s="33">
        <f>Inputs!C141</f>
        <v/>
      </c>
      <c r="D20" s="33">
        <f>Inputs!D141</f>
        <v/>
      </c>
      <c r="E20" s="66" t="n"/>
      <c r="F20" s="66" t="n"/>
      <c r="G20" s="59" t="n"/>
      <c r="H20" s="59" t="n"/>
    </row>
    <row r="21">
      <c r="A21" s="33">
        <f>Inputs!A142</f>
        <v/>
      </c>
      <c r="B21" s="33">
        <f>Inputs!B142</f>
        <v/>
      </c>
      <c r="C21" s="33">
        <f>Inputs!C142</f>
        <v/>
      </c>
      <c r="D21" s="33">
        <f>Inputs!D142</f>
        <v/>
      </c>
      <c r="E21" s="66" t="n"/>
      <c r="F21" s="66" t="n"/>
      <c r="G21" s="59" t="n"/>
      <c r="H21" s="59" t="n"/>
    </row>
    <row r="22">
      <c r="A22" s="33">
        <f>Inputs!A143</f>
        <v/>
      </c>
      <c r="B22" s="33">
        <f>Inputs!B143</f>
        <v/>
      </c>
      <c r="C22" s="33">
        <f>Inputs!C143</f>
        <v/>
      </c>
      <c r="D22" s="33">
        <f>Inputs!D143</f>
        <v/>
      </c>
      <c r="E22" s="66" t="n"/>
      <c r="F22" s="66" t="n"/>
      <c r="G22" s="59" t="n"/>
      <c r="H22" s="59" t="n"/>
    </row>
    <row r="23">
      <c r="A23" s="33">
        <f>Inputs!A144</f>
        <v/>
      </c>
      <c r="B23" s="33">
        <f>Inputs!B144</f>
        <v/>
      </c>
      <c r="C23" s="33">
        <f>Inputs!C144</f>
        <v/>
      </c>
      <c r="D23" s="33">
        <f>Inputs!D144</f>
        <v/>
      </c>
      <c r="E23" s="66" t="n"/>
      <c r="F23" s="66" t="n"/>
      <c r="G23" s="59" t="n"/>
      <c r="H23" s="59" t="n"/>
    </row>
    <row r="24">
      <c r="A24" s="33">
        <f>Inputs!A145</f>
        <v/>
      </c>
      <c r="B24" s="33">
        <f>Inputs!B145</f>
        <v/>
      </c>
      <c r="C24" s="33">
        <f>Inputs!C145</f>
        <v/>
      </c>
      <c r="D24" s="33">
        <f>Inputs!D145</f>
        <v/>
      </c>
      <c r="E24" s="66" t="n"/>
      <c r="F24" s="66" t="n"/>
      <c r="G24" s="59" t="n"/>
      <c r="H24" s="59" t="n"/>
    </row>
    <row r="25">
      <c r="A25" s="33">
        <f>Inputs!A146</f>
        <v/>
      </c>
      <c r="B25" s="33">
        <f>Inputs!B146</f>
        <v/>
      </c>
      <c r="C25" s="33">
        <f>Inputs!C146</f>
        <v/>
      </c>
      <c r="D25" s="33">
        <f>Inputs!D146</f>
        <v/>
      </c>
      <c r="E25" s="66" t="n"/>
      <c r="F25" s="66" t="n"/>
      <c r="G25" s="59" t="n"/>
      <c r="H25" s="59" t="n"/>
    </row>
    <row r="26">
      <c r="A26" s="33">
        <f>Inputs!A147</f>
        <v/>
      </c>
      <c r="B26" s="33">
        <f>Inputs!B147</f>
        <v/>
      </c>
      <c r="C26" s="33">
        <f>Inputs!C147</f>
        <v/>
      </c>
      <c r="D26" s="33">
        <f>Inputs!D147</f>
        <v/>
      </c>
      <c r="E26" s="66" t="n"/>
      <c r="F26" s="66" t="n"/>
      <c r="G26" s="59" t="n"/>
      <c r="H26" s="59" t="n"/>
    </row>
    <row r="27">
      <c r="A27" s="33">
        <f>Inputs!A148</f>
        <v/>
      </c>
      <c r="B27" s="33">
        <f>Inputs!B148</f>
        <v/>
      </c>
      <c r="C27" s="33">
        <f>Inputs!C148</f>
        <v/>
      </c>
      <c r="D27" s="33">
        <f>Inputs!D148</f>
        <v/>
      </c>
      <c r="E27" s="66" t="n"/>
      <c r="F27" s="66" t="n"/>
      <c r="G27" s="59" t="n"/>
      <c r="H27" s="59" t="n"/>
    </row>
    <row r="28">
      <c r="A28" s="33">
        <f>Inputs!A149</f>
        <v/>
      </c>
      <c r="B28" s="33">
        <f>Inputs!B149</f>
        <v/>
      </c>
      <c r="C28" s="33">
        <f>Inputs!C149</f>
        <v/>
      </c>
      <c r="D28" s="33">
        <f>Inputs!D149</f>
        <v/>
      </c>
      <c r="E28" s="66" t="n"/>
      <c r="F28" s="66" t="n"/>
      <c r="G28" s="59" t="n"/>
      <c r="H28" s="59" t="n"/>
    </row>
    <row r="29">
      <c r="A29" s="33">
        <f>Inputs!A150</f>
        <v/>
      </c>
      <c r="B29" s="33">
        <f>Inputs!B150</f>
        <v/>
      </c>
      <c r="C29" s="33">
        <f>Inputs!C150</f>
        <v/>
      </c>
      <c r="D29" s="33">
        <f>Inputs!D150</f>
        <v/>
      </c>
      <c r="E29" s="66" t="n"/>
      <c r="F29" s="66" t="n"/>
      <c r="G29" s="59" t="n"/>
      <c r="H29" s="59" t="n"/>
    </row>
    <row r="30">
      <c r="A30" s="33">
        <f>Inputs!A151</f>
        <v/>
      </c>
      <c r="B30" s="33">
        <f>Inputs!B151</f>
        <v/>
      </c>
      <c r="C30" s="33">
        <f>Inputs!C151</f>
        <v/>
      </c>
      <c r="D30" s="33">
        <f>Inputs!D151</f>
        <v/>
      </c>
      <c r="E30" s="66" t="n"/>
      <c r="F30" s="66" t="n"/>
      <c r="G30" s="59" t="n"/>
      <c r="H30" s="59" t="n"/>
    </row>
    <row r="31">
      <c r="A31" s="33">
        <f>Inputs!A152</f>
        <v/>
      </c>
      <c r="B31" s="33">
        <f>Inputs!B152</f>
        <v/>
      </c>
      <c r="C31" s="33">
        <f>Inputs!C152</f>
        <v/>
      </c>
      <c r="D31" s="33">
        <f>Inputs!D152</f>
        <v/>
      </c>
      <c r="E31" s="66" t="n"/>
      <c r="F31" s="66" t="n"/>
      <c r="G31" s="59" t="n"/>
      <c r="H31" s="59" t="n"/>
    </row>
    <row r="32">
      <c r="A32" s="33">
        <f>Inputs!A153</f>
        <v/>
      </c>
      <c r="B32" s="33">
        <f>Inputs!B153</f>
        <v/>
      </c>
      <c r="C32" s="33">
        <f>Inputs!C153</f>
        <v/>
      </c>
      <c r="D32" s="33">
        <f>Inputs!D153</f>
        <v/>
      </c>
      <c r="E32" s="66" t="n"/>
      <c r="F32" s="66" t="n"/>
      <c r="G32" s="59" t="n"/>
      <c r="H32" s="59" t="n"/>
    </row>
    <row r="33">
      <c r="A33" s="33">
        <f>Inputs!A154</f>
        <v/>
      </c>
      <c r="B33" s="33">
        <f>Inputs!B154</f>
        <v/>
      </c>
      <c r="C33" s="33">
        <f>Inputs!C154</f>
        <v/>
      </c>
      <c r="D33" s="33">
        <f>Inputs!D154</f>
        <v/>
      </c>
      <c r="E33" s="66" t="n"/>
      <c r="F33" s="66" t="n"/>
      <c r="G33" s="59" t="n"/>
      <c r="H33" s="59" t="n"/>
    </row>
    <row r="34">
      <c r="A34" s="33">
        <f>Inputs!A155</f>
        <v/>
      </c>
      <c r="B34" s="33">
        <f>Inputs!B155</f>
        <v/>
      </c>
      <c r="C34" s="33">
        <f>Inputs!C155</f>
        <v/>
      </c>
      <c r="D34" s="33">
        <f>Inputs!D155</f>
        <v/>
      </c>
      <c r="E34" s="66" t="n"/>
      <c r="F34" s="66" t="n"/>
      <c r="G34" s="59" t="n"/>
      <c r="H34" s="59" t="n"/>
    </row>
    <row r="35">
      <c r="A35" s="33">
        <f>Inputs!A156</f>
        <v/>
      </c>
      <c r="B35" s="33">
        <f>Inputs!B156</f>
        <v/>
      </c>
      <c r="C35" s="33">
        <f>Inputs!C156</f>
        <v/>
      </c>
      <c r="D35" s="33">
        <f>Inputs!D156</f>
        <v/>
      </c>
      <c r="E35" s="66" t="n"/>
      <c r="F35" s="66" t="n"/>
      <c r="G35" s="59" t="n"/>
      <c r="H35" s="59" t="n"/>
    </row>
    <row r="37">
      <c r="D37" s="45" t="inlineStr">
        <is>
          <t>Maximum</t>
        </is>
      </c>
      <c r="E37" s="67">
        <f>IFERROR(MAX(E6:E35),"n/a")</f>
        <v/>
      </c>
      <c r="F37" s="67">
        <f>IFERROR(MAX(F6:F35),"n/a")</f>
        <v/>
      </c>
      <c r="G37" s="61">
        <f>IFERROR(MAX(G6:G35),"n/a")</f>
        <v/>
      </c>
      <c r="H37" s="61">
        <f>IFERROR(MAX(H6:H35),"n/a")</f>
        <v/>
      </c>
    </row>
    <row r="38">
      <c r="D38" s="45" t="inlineStr">
        <is>
          <t>Q3 (75%)</t>
        </is>
      </c>
      <c r="E38" s="67">
        <f>IFERROR(QUARTILE(E6:E35,3),"n/a")</f>
        <v/>
      </c>
      <c r="F38" s="67">
        <f>IFERROR(QUARTILE(F6:F35,3),"n/a")</f>
        <v/>
      </c>
      <c r="G38" s="61">
        <f>IFERROR(QUARTILE(G6:G35,3),"n/a")</f>
        <v/>
      </c>
      <c r="H38" s="61">
        <f>IFERROR(QUARTILE(H6:H35,3),"n/a")</f>
        <v/>
      </c>
    </row>
    <row r="39">
      <c r="D39" s="45" t="inlineStr">
        <is>
          <t>Median</t>
        </is>
      </c>
      <c r="E39" s="68">
        <f>IFERROR(MEDIAN(E6:E35),"n/a")</f>
        <v/>
      </c>
      <c r="F39" s="68">
        <f>IFERROR(MEDIAN(F6:F35),"n/a")</f>
        <v/>
      </c>
      <c r="G39" s="63">
        <f>IFERROR(MEDIAN(G6:G35),"n/a")</f>
        <v/>
      </c>
      <c r="H39" s="63">
        <f>IFERROR(MEDIAN(H6:H35),"n/a")</f>
        <v/>
      </c>
    </row>
    <row r="40">
      <c r="D40" s="45" t="inlineStr">
        <is>
          <t>Mean</t>
        </is>
      </c>
      <c r="E40" s="67">
        <f>IFERROR(AVERAGE(E6:E35),"n/a")</f>
        <v/>
      </c>
      <c r="F40" s="67">
        <f>IFERROR(AVERAGE(F6:F35),"n/a")</f>
        <v/>
      </c>
      <c r="G40" s="61">
        <f>IFERROR(AVERAGE(G6:G35),"n/a")</f>
        <v/>
      </c>
      <c r="H40" s="61">
        <f>IFERROR(AVERAGE(H6:H35),"n/a")</f>
        <v/>
      </c>
    </row>
    <row r="41">
      <c r="D41" s="45" t="inlineStr">
        <is>
          <t>Q1 (25%)</t>
        </is>
      </c>
      <c r="E41" s="67">
        <f>IFERROR(QUARTILE(E6:E35,1),"n/a")</f>
        <v/>
      </c>
      <c r="F41" s="67">
        <f>IFERROR(QUARTILE(F6:F35,1),"n/a")</f>
        <v/>
      </c>
      <c r="G41" s="61">
        <f>IFERROR(QUARTILE(G6:G35,1),"n/a")</f>
        <v/>
      </c>
      <c r="H41" s="61">
        <f>IFERROR(QUARTILE(H6:H35,1),"n/a")</f>
        <v/>
      </c>
    </row>
    <row r="42">
      <c r="D42" s="45" t="inlineStr">
        <is>
          <t>Minimum</t>
        </is>
      </c>
      <c r="E42" s="67">
        <f>IFERROR(MIN(E6:E35),"n/a")</f>
        <v/>
      </c>
      <c r="F42" s="67">
        <f>IFERROR(MIN(F6:F35),"n/a")</f>
        <v/>
      </c>
      <c r="G42" s="61">
        <f>IFERROR(MIN(G6:G35),"n/a")</f>
        <v/>
      </c>
      <c r="H42" s="61">
        <f>IFERROR(MIN(H6:H35),"n/a")</f>
        <v/>
      </c>
    </row>
    <row r="44">
      <c r="D44" s="3" t="inlineStr">
        <is>
          <t>Tier-filtered (include=TRUE)</t>
        </is>
      </c>
    </row>
    <row r="45">
      <c r="D45" s="4" t="inlineStr">
        <is>
          <t>Tier 1 mean</t>
        </is>
      </c>
      <c r="E45" s="42">
        <f>IFERROR(AVERAGEIFS(E6:E35,$A$6:$A$35,1,$B$6:$B$35,TRUE),"n/a")</f>
        <v/>
      </c>
      <c r="F45" s="42">
        <f>IFERROR(AVERAGEIFS(F6:F35,$A$6:$A$35,1,$B$6:$B$35,TRUE),"n/a")</f>
        <v/>
      </c>
      <c r="G45" s="49">
        <f>IFERROR(AVERAGEIFS(G6:G35,$A$6:$A$35,1,$B$6:$B$35,TRUE),"n/a")</f>
        <v/>
      </c>
      <c r="H45" s="49">
        <f>IFERROR(AVERAGEIFS(H6:H35,$A$6:$A$35,1,$B$6:$B$35,TRUE),"n/a")</f>
        <v/>
      </c>
    </row>
    <row r="46">
      <c r="D46" s="4" t="inlineStr">
        <is>
          <t>Tier 2 mean</t>
        </is>
      </c>
      <c r="E46" s="42">
        <f>IFERROR(AVERAGEIFS(E6:E35,$A$6:$A$35,2,$B$6:$B$35,TRUE),"n/a")</f>
        <v/>
      </c>
      <c r="F46" s="42">
        <f>IFERROR(AVERAGEIFS(F6:F35,$A$6:$A$35,2,$B$6:$B$35,TRUE),"n/a")</f>
        <v/>
      </c>
      <c r="G46" s="49">
        <f>IFERROR(AVERAGEIFS(G6:G35,$A$6:$A$35,2,$B$6:$B$35,TRUE),"n/a")</f>
        <v/>
      </c>
      <c r="H46" s="49">
        <f>IFERROR(AVERAGEIFS(H6:H35,$A$6:$A$35,2,$B$6:$B$35,TRUE),"n/a")</f>
        <v/>
      </c>
    </row>
    <row r="47">
      <c r="D47" s="4" t="inlineStr">
        <is>
          <t>Tier 3 mean</t>
        </is>
      </c>
      <c r="E47" s="42">
        <f>IFERROR(AVERAGEIFS(E6:E35,$A$6:$A$35,3,$B$6:$B$35,TRUE),"n/a")</f>
        <v/>
      </c>
      <c r="F47" s="42">
        <f>IFERROR(AVERAGEIFS(F6:F35,$A$6:$A$35,3,$B$6:$B$35,TRUE),"n/a")</f>
        <v/>
      </c>
      <c r="G47" s="49">
        <f>IFERROR(AVERAGEIFS(G6:G35,$A$6:$A$35,3,$B$6:$B$35,TRUE),"n/a")</f>
        <v/>
      </c>
      <c r="H47" s="49">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9"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7" t="n">
        <v>0.0457</v>
      </c>
      <c r="E5" s="57" t="n">
        <v>0</v>
      </c>
      <c r="F5" s="57" t="n">
        <v>0.21</v>
      </c>
      <c r="G5" s="33" t="inlineStr">
        <is>
          <t>North America</t>
        </is>
      </c>
    </row>
    <row r="6">
      <c r="A6" s="33" t="inlineStr">
        <is>
          <t>United Kingdom</t>
        </is>
      </c>
      <c r="B6" s="33" t="inlineStr">
        <is>
          <t>GB</t>
        </is>
      </c>
      <c r="C6" s="33" t="inlineStr">
        <is>
          <t>Aa3</t>
        </is>
      </c>
      <c r="D6" s="57" t="n">
        <v>0.0507</v>
      </c>
      <c r="E6" s="57" t="n">
        <v>0.005</v>
      </c>
      <c r="F6" s="57" t="n">
        <v>0.25</v>
      </c>
      <c r="G6" s="33" t="inlineStr">
        <is>
          <t>Western Europe</t>
        </is>
      </c>
    </row>
    <row r="7">
      <c r="A7" s="33" t="inlineStr">
        <is>
          <t>Germany</t>
        </is>
      </c>
      <c r="B7" s="33" t="inlineStr">
        <is>
          <t>DE</t>
        </is>
      </c>
      <c r="C7" s="33" t="inlineStr">
        <is>
          <t>Aaa</t>
        </is>
      </c>
      <c r="D7" s="57" t="n">
        <v>0.0457</v>
      </c>
      <c r="E7" s="57" t="n">
        <v>0</v>
      </c>
      <c r="F7" s="57" t="n">
        <v>0.298</v>
      </c>
      <c r="G7" s="33" t="inlineStr">
        <is>
          <t>Western Europe</t>
        </is>
      </c>
    </row>
    <row r="8">
      <c r="A8" s="33" t="inlineStr">
        <is>
          <t>France</t>
        </is>
      </c>
      <c r="B8" s="33" t="inlineStr">
        <is>
          <t>FR</t>
        </is>
      </c>
      <c r="C8" s="33" t="inlineStr">
        <is>
          <t>Aa3</t>
        </is>
      </c>
      <c r="D8" s="57" t="n">
        <v>0.0507</v>
      </c>
      <c r="E8" s="57" t="n">
        <v>0.005</v>
      </c>
      <c r="F8" s="57" t="n">
        <v>0.258</v>
      </c>
      <c r="G8" s="33" t="inlineStr">
        <is>
          <t>Western Europe</t>
        </is>
      </c>
    </row>
    <row r="9">
      <c r="A9" s="33" t="inlineStr">
        <is>
          <t>Switzerland</t>
        </is>
      </c>
      <c r="B9" s="33" t="inlineStr">
        <is>
          <t>CH</t>
        </is>
      </c>
      <c r="C9" s="33" t="inlineStr">
        <is>
          <t>Aaa</t>
        </is>
      </c>
      <c r="D9" s="57" t="n">
        <v>0.0457</v>
      </c>
      <c r="E9" s="57" t="n">
        <v>0</v>
      </c>
      <c r="F9" s="57" t="n">
        <v>0.144</v>
      </c>
      <c r="G9" s="33" t="inlineStr">
        <is>
          <t>Western Europe</t>
        </is>
      </c>
    </row>
    <row r="10">
      <c r="A10" s="33" t="inlineStr">
        <is>
          <t>Netherlands</t>
        </is>
      </c>
      <c r="B10" s="33" t="inlineStr">
        <is>
          <t>NL</t>
        </is>
      </c>
      <c r="C10" s="33" t="inlineStr">
        <is>
          <t>Aaa</t>
        </is>
      </c>
      <c r="D10" s="57" t="n">
        <v>0.0457</v>
      </c>
      <c r="E10" s="57" t="n">
        <v>0</v>
      </c>
      <c r="F10" s="57" t="n">
        <v>0.258</v>
      </c>
      <c r="G10" s="33" t="inlineStr">
        <is>
          <t>Western Europe</t>
        </is>
      </c>
    </row>
    <row r="11">
      <c r="A11" s="33" t="inlineStr">
        <is>
          <t>Australia</t>
        </is>
      </c>
      <c r="B11" s="33" t="inlineStr">
        <is>
          <t>AU</t>
        </is>
      </c>
      <c r="C11" s="33" t="inlineStr">
        <is>
          <t>Aaa</t>
        </is>
      </c>
      <c r="D11" s="57" t="n">
        <v>0.0457</v>
      </c>
      <c r="E11" s="57" t="n">
        <v>0</v>
      </c>
      <c r="F11" s="57" t="n">
        <v>0.3</v>
      </c>
      <c r="G11" s="33" t="inlineStr">
        <is>
          <t>Australia &amp; NZ</t>
        </is>
      </c>
    </row>
    <row r="12">
      <c r="A12" s="33" t="inlineStr">
        <is>
          <t>New Zealand</t>
        </is>
      </c>
      <c r="B12" s="33" t="inlineStr">
        <is>
          <t>NZ</t>
        </is>
      </c>
      <c r="C12" s="33" t="inlineStr">
        <is>
          <t>Aaa</t>
        </is>
      </c>
      <c r="D12" s="57" t="n">
        <v>0.0457</v>
      </c>
      <c r="E12" s="57" t="n">
        <v>0</v>
      </c>
      <c r="F12" s="57" t="n">
        <v>0.28</v>
      </c>
      <c r="G12" s="33" t="inlineStr">
        <is>
          <t>Australia &amp; NZ</t>
        </is>
      </c>
    </row>
    <row r="13">
      <c r="A13" s="33" t="inlineStr">
        <is>
          <t>Canada</t>
        </is>
      </c>
      <c r="B13" s="33" t="inlineStr">
        <is>
          <t>CA</t>
        </is>
      </c>
      <c r="C13" s="33" t="inlineStr">
        <is>
          <t>Aaa</t>
        </is>
      </c>
      <c r="D13" s="57" t="n">
        <v>0.0457</v>
      </c>
      <c r="E13" s="57" t="n">
        <v>0</v>
      </c>
      <c r="F13" s="57" t="n">
        <v>0.265</v>
      </c>
      <c r="G13" s="33" t="inlineStr">
        <is>
          <t>North America</t>
        </is>
      </c>
    </row>
    <row r="14">
      <c r="A14" s="33" t="inlineStr">
        <is>
          <t>Japan</t>
        </is>
      </c>
      <c r="B14" s="33" t="inlineStr">
        <is>
          <t>JP</t>
        </is>
      </c>
      <c r="C14" s="33" t="inlineStr">
        <is>
          <t>A1</t>
        </is>
      </c>
      <c r="D14" s="57" t="n">
        <v>0.0567</v>
      </c>
      <c r="E14" s="57" t="n">
        <v>0.011</v>
      </c>
      <c r="F14" s="57" t="n">
        <v>0.305</v>
      </c>
      <c r="G14" s="33" t="inlineStr">
        <is>
          <t>Asia</t>
        </is>
      </c>
    </row>
    <row r="15">
      <c r="A15" s="33" t="inlineStr">
        <is>
          <t>South Korea</t>
        </is>
      </c>
      <c r="B15" s="33" t="inlineStr">
        <is>
          <t>KR</t>
        </is>
      </c>
      <c r="C15" s="33" t="inlineStr">
        <is>
          <t>Aa2</t>
        </is>
      </c>
      <c r="D15" s="57" t="n">
        <v>0.0489</v>
      </c>
      <c r="E15" s="57" t="n">
        <v>0.0032</v>
      </c>
      <c r="F15" s="57" t="n">
        <v>0.275</v>
      </c>
      <c r="G15" s="33" t="inlineStr">
        <is>
          <t>Asia</t>
        </is>
      </c>
    </row>
    <row r="16">
      <c r="A16" s="33" t="inlineStr">
        <is>
          <t>Taiwan</t>
        </is>
      </c>
      <c r="B16" s="33" t="inlineStr">
        <is>
          <t>TW</t>
        </is>
      </c>
      <c r="C16" s="33" t="inlineStr">
        <is>
          <t>Aa3</t>
        </is>
      </c>
      <c r="D16" s="57" t="n">
        <v>0.0507</v>
      </c>
      <c r="E16" s="57" t="n">
        <v>0.005</v>
      </c>
      <c r="F16" s="57" t="n">
        <v>0.2</v>
      </c>
      <c r="G16" s="33" t="inlineStr">
        <is>
          <t>Asia</t>
        </is>
      </c>
    </row>
    <row r="17">
      <c r="A17" s="33" t="inlineStr">
        <is>
          <t>China</t>
        </is>
      </c>
      <c r="B17" s="33" t="inlineStr">
        <is>
          <t>CN</t>
        </is>
      </c>
      <c r="C17" s="33" t="inlineStr">
        <is>
          <t>A1</t>
        </is>
      </c>
      <c r="D17" s="57" t="n">
        <v>0.0567</v>
      </c>
      <c r="E17" s="57" t="n">
        <v>0.011</v>
      </c>
      <c r="F17" s="57" t="n">
        <v>0.25</v>
      </c>
      <c r="G17" s="33" t="inlineStr">
        <is>
          <t>Asia</t>
        </is>
      </c>
    </row>
    <row r="18">
      <c r="A18" s="33" t="inlineStr">
        <is>
          <t>Hong Kong</t>
        </is>
      </c>
      <c r="B18" s="33" t="inlineStr">
        <is>
          <t>HK</t>
        </is>
      </c>
      <c r="C18" s="33" t="inlineStr">
        <is>
          <t>Aa3</t>
        </is>
      </c>
      <c r="D18" s="57" t="n">
        <v>0.0507</v>
      </c>
      <c r="E18" s="57" t="n">
        <v>0.005</v>
      </c>
      <c r="F18" s="57" t="n">
        <v>0.165</v>
      </c>
      <c r="G18" s="33" t="inlineStr">
        <is>
          <t>Asia</t>
        </is>
      </c>
    </row>
    <row r="19">
      <c r="A19" s="33" t="inlineStr">
        <is>
          <t>Singapore</t>
        </is>
      </c>
      <c r="B19" s="33" t="inlineStr">
        <is>
          <t>SG</t>
        </is>
      </c>
      <c r="C19" s="33" t="inlineStr">
        <is>
          <t>Aaa</t>
        </is>
      </c>
      <c r="D19" s="57" t="n">
        <v>0.0457</v>
      </c>
      <c r="E19" s="57" t="n">
        <v>0</v>
      </c>
      <c r="F19" s="57" t="n">
        <v>0.17</v>
      </c>
      <c r="G19" s="33" t="inlineStr">
        <is>
          <t>Asia</t>
        </is>
      </c>
    </row>
    <row r="20">
      <c r="A20" s="33" t="inlineStr">
        <is>
          <t>Malaysia</t>
        </is>
      </c>
      <c r="B20" s="33" t="inlineStr">
        <is>
          <t>MY</t>
        </is>
      </c>
      <c r="C20" s="33" t="inlineStr">
        <is>
          <t>A3</t>
        </is>
      </c>
      <c r="D20" s="57" t="n">
        <v>0.0623</v>
      </c>
      <c r="E20" s="57" t="n">
        <v>0.0166</v>
      </c>
      <c r="F20" s="57" t="n">
        <v>0.24</v>
      </c>
      <c r="G20" s="33" t="inlineStr">
        <is>
          <t>Asia</t>
        </is>
      </c>
    </row>
    <row r="21">
      <c r="A21" s="33" t="inlineStr">
        <is>
          <t>Thailand</t>
        </is>
      </c>
      <c r="B21" s="33" t="inlineStr">
        <is>
          <t>TH</t>
        </is>
      </c>
      <c r="C21" s="33" t="inlineStr">
        <is>
          <t>Baa1</t>
        </is>
      </c>
      <c r="D21" s="57" t="n">
        <v>0.06909999999999999</v>
      </c>
      <c r="E21" s="57" t="n">
        <v>0.0234</v>
      </c>
      <c r="F21" s="57" t="n">
        <v>0.2</v>
      </c>
      <c r="G21" s="33" t="inlineStr">
        <is>
          <t>Asia</t>
        </is>
      </c>
    </row>
    <row r="22">
      <c r="A22" s="33" t="inlineStr">
        <is>
          <t>Vietnam</t>
        </is>
      </c>
      <c r="B22" s="33" t="inlineStr">
        <is>
          <t>VN</t>
        </is>
      </c>
      <c r="C22" s="33" t="inlineStr">
        <is>
          <t>Ba2</t>
        </is>
      </c>
      <c r="D22" s="57" t="n">
        <v>0.08550000000000001</v>
      </c>
      <c r="E22" s="57" t="n">
        <v>0.0398</v>
      </c>
      <c r="F22" s="57" t="n">
        <v>0.2</v>
      </c>
      <c r="G22" s="33" t="inlineStr">
        <is>
          <t>Asia</t>
        </is>
      </c>
    </row>
    <row r="23">
      <c r="A23" s="33" t="inlineStr">
        <is>
          <t>Indonesia</t>
        </is>
      </c>
      <c r="B23" s="33" t="inlineStr">
        <is>
          <t>ID</t>
        </is>
      </c>
      <c r="C23" s="33" t="inlineStr">
        <is>
          <t>Baa2</t>
        </is>
      </c>
      <c r="D23" s="57" t="n">
        <v>0.0735</v>
      </c>
      <c r="E23" s="57" t="n">
        <v>0.0278</v>
      </c>
      <c r="F23" s="57" t="n">
        <v>0.22</v>
      </c>
      <c r="G23" s="33" t="inlineStr">
        <is>
          <t>Asia</t>
        </is>
      </c>
    </row>
    <row r="24">
      <c r="A24" s="33" t="inlineStr">
        <is>
          <t>Philippines</t>
        </is>
      </c>
      <c r="B24" s="33" t="inlineStr">
        <is>
          <t>PH</t>
        </is>
      </c>
      <c r="C24" s="33" t="inlineStr">
        <is>
          <t>Baa2</t>
        </is>
      </c>
      <c r="D24" s="57" t="n">
        <v>0.0735</v>
      </c>
      <c r="E24" s="57" t="n">
        <v>0.0278</v>
      </c>
      <c r="F24" s="57" t="n">
        <v>0.25</v>
      </c>
      <c r="G24" s="33" t="inlineStr">
        <is>
          <t>Asia</t>
        </is>
      </c>
    </row>
    <row r="25">
      <c r="A25" s="33" t="inlineStr">
        <is>
          <t>India</t>
        </is>
      </c>
      <c r="B25" s="33" t="inlineStr">
        <is>
          <t>IN</t>
        </is>
      </c>
      <c r="C25" s="33" t="inlineStr">
        <is>
          <t>Baa3</t>
        </is>
      </c>
      <c r="D25" s="57" t="n">
        <v>0.0786</v>
      </c>
      <c r="E25" s="57" t="n">
        <v>0.0329</v>
      </c>
      <c r="F25" s="57" t="n">
        <v>0.252</v>
      </c>
      <c r="G25" s="33" t="inlineStr">
        <is>
          <t>Asia</t>
        </is>
      </c>
    </row>
    <row r="26">
      <c r="A26" s="33" t="inlineStr">
        <is>
          <t>Pakistan</t>
        </is>
      </c>
      <c r="B26" s="33" t="inlineStr">
        <is>
          <t>PK</t>
        </is>
      </c>
      <c r="C26" s="33" t="inlineStr">
        <is>
          <t>Caa2</t>
        </is>
      </c>
      <c r="D26" s="57" t="n">
        <v>0.1421</v>
      </c>
      <c r="E26" s="57" t="n">
        <v>0.0964</v>
      </c>
      <c r="F26" s="57" t="n">
        <v>0.29</v>
      </c>
      <c r="G26" s="33" t="inlineStr">
        <is>
          <t>Asia</t>
        </is>
      </c>
    </row>
    <row r="27">
      <c r="A27" s="33" t="inlineStr">
        <is>
          <t>Bangladesh</t>
        </is>
      </c>
      <c r="B27" s="33" t="inlineStr">
        <is>
          <t>BD</t>
        </is>
      </c>
      <c r="C27" s="33" t="inlineStr">
        <is>
          <t>B2</t>
        </is>
      </c>
      <c r="D27" s="57" t="n">
        <v>0.1142</v>
      </c>
      <c r="E27" s="57" t="n">
        <v>0.06850000000000001</v>
      </c>
      <c r="F27" s="57" t="n">
        <v>0.275</v>
      </c>
      <c r="G27" s="33" t="inlineStr">
        <is>
          <t>Asia</t>
        </is>
      </c>
    </row>
    <row r="28">
      <c r="A28" s="33" t="inlineStr">
        <is>
          <t>Cayman Islands</t>
        </is>
      </c>
      <c r="B28" s="33" t="inlineStr">
        <is>
          <t>KY</t>
        </is>
      </c>
      <c r="C28" s="33" t="inlineStr">
        <is>
          <t>Aa3</t>
        </is>
      </c>
      <c r="D28" s="57" t="n">
        <v>0.0507</v>
      </c>
      <c r="E28" s="57" t="n">
        <v>0.005</v>
      </c>
      <c r="F28" s="57" t="n">
        <v>0</v>
      </c>
      <c r="G28" s="33" t="inlineStr">
        <is>
          <t>Caribbean (offshore)</t>
        </is>
      </c>
    </row>
    <row r="29">
      <c r="A29" s="33" t="inlineStr">
        <is>
          <t>British Virgin Is.</t>
        </is>
      </c>
      <c r="B29" s="33" t="inlineStr">
        <is>
          <t>VG</t>
        </is>
      </c>
      <c r="C29" s="33" t="inlineStr">
        <is>
          <t>NA</t>
        </is>
      </c>
      <c r="D29" s="57" t="n">
        <v>0.0507</v>
      </c>
      <c r="E29" s="57" t="n">
        <v>0.005</v>
      </c>
      <c r="F29" s="57" t="n">
        <v>0</v>
      </c>
      <c r="G29" s="33" t="inlineStr">
        <is>
          <t>Caribbean (offshore)</t>
        </is>
      </c>
    </row>
    <row r="30">
      <c r="A30" s="33" t="inlineStr">
        <is>
          <t>Bermuda</t>
        </is>
      </c>
      <c r="B30" s="33" t="inlineStr">
        <is>
          <t>BM</t>
        </is>
      </c>
      <c r="C30" s="33" t="inlineStr">
        <is>
          <t>A2</t>
        </is>
      </c>
      <c r="D30" s="57" t="n">
        <v>0.0596</v>
      </c>
      <c r="E30" s="57" t="n">
        <v>0.0139</v>
      </c>
      <c r="F30" s="57" t="n">
        <v>0</v>
      </c>
      <c r="G30" s="33" t="inlineStr">
        <is>
          <t>Caribbean (offshore)</t>
        </is>
      </c>
    </row>
    <row r="31">
      <c r="A31" s="33" t="inlineStr">
        <is>
          <t>Brazil</t>
        </is>
      </c>
      <c r="B31" s="33" t="inlineStr">
        <is>
          <t>BR</t>
        </is>
      </c>
      <c r="C31" s="33" t="inlineStr">
        <is>
          <t>Ba2</t>
        </is>
      </c>
      <c r="D31" s="57" t="n">
        <v>0.08550000000000001</v>
      </c>
      <c r="E31" s="57" t="n">
        <v>0.0398</v>
      </c>
      <c r="F31" s="57" t="n">
        <v>0.34</v>
      </c>
      <c r="G31" s="33" t="inlineStr">
        <is>
          <t>Latin America</t>
        </is>
      </c>
    </row>
    <row r="32">
      <c r="A32" s="33" t="inlineStr">
        <is>
          <t>Mexico</t>
        </is>
      </c>
      <c r="B32" s="33" t="inlineStr">
        <is>
          <t>MX</t>
        </is>
      </c>
      <c r="C32" s="33" t="inlineStr">
        <is>
          <t>Baa2</t>
        </is>
      </c>
      <c r="D32" s="57" t="n">
        <v>0.0735</v>
      </c>
      <c r="E32" s="57" t="n">
        <v>0.0278</v>
      </c>
      <c r="F32" s="57" t="n">
        <v>0.3</v>
      </c>
      <c r="G32" s="33" t="inlineStr">
        <is>
          <t>Latin America</t>
        </is>
      </c>
    </row>
    <row r="33">
      <c r="A33" s="33" t="inlineStr">
        <is>
          <t>UAE</t>
        </is>
      </c>
      <c r="B33" s="33" t="inlineStr">
        <is>
          <t>AE</t>
        </is>
      </c>
      <c r="C33" s="33" t="inlineStr">
        <is>
          <t>Aa2</t>
        </is>
      </c>
      <c r="D33" s="57" t="n">
        <v>0.0489</v>
      </c>
      <c r="E33" s="57" t="n">
        <v>0.0032</v>
      </c>
      <c r="F33" s="57" t="n">
        <v>0.09</v>
      </c>
      <c r="G33" s="33" t="inlineStr">
        <is>
          <t>Middle East</t>
        </is>
      </c>
    </row>
    <row r="34">
      <c r="A34" s="33" t="inlineStr">
        <is>
          <t>Saudi Arabia</t>
        </is>
      </c>
      <c r="B34" s="33" t="inlineStr">
        <is>
          <t>SA</t>
        </is>
      </c>
      <c r="C34" s="33" t="inlineStr">
        <is>
          <t>Aa3</t>
        </is>
      </c>
      <c r="D34" s="57" t="n">
        <v>0.0507</v>
      </c>
      <c r="E34" s="57" t="n">
        <v>0.005</v>
      </c>
      <c r="F34" s="57" t="n">
        <v>0.2</v>
      </c>
      <c r="G34" s="33" t="inlineStr">
        <is>
          <t>Middle East</t>
        </is>
      </c>
    </row>
    <row r="35">
      <c r="A35" s="33" t="inlineStr">
        <is>
          <t>Israel</t>
        </is>
      </c>
      <c r="B35" s="33" t="inlineStr">
        <is>
          <t>IL</t>
        </is>
      </c>
      <c r="C35" s="33" t="inlineStr">
        <is>
          <t>A2</t>
        </is>
      </c>
      <c r="D35" s="57" t="n">
        <v>0.0596</v>
      </c>
      <c r="E35" s="57" t="n">
        <v>0.0139</v>
      </c>
      <c r="F35" s="57"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51" t="n">
        <v>0.97</v>
      </c>
      <c r="D5" s="55" t="n">
        <v>0.4</v>
      </c>
      <c r="E5" s="55" t="n">
        <v>0.16</v>
      </c>
      <c r="F5" s="55" t="n">
        <v>0.1</v>
      </c>
      <c r="G5" s="55" t="n">
        <v>0.018</v>
      </c>
      <c r="H5" s="55" t="n">
        <v>0.024</v>
      </c>
      <c r="I5" s="52" t="n">
        <v>14</v>
      </c>
    </row>
    <row r="6">
      <c r="A6" s="33" t="inlineStr">
        <is>
          <t>Aerospace/Defense</t>
        </is>
      </c>
      <c r="B6" s="33" t="n">
        <v>71</v>
      </c>
      <c r="C6" s="51" t="n">
        <v>0.92</v>
      </c>
      <c r="D6" s="55" t="n">
        <v>0.27</v>
      </c>
      <c r="E6" s="55" t="n">
        <v>0.18</v>
      </c>
      <c r="F6" s="55" t="n">
        <v>0.12</v>
      </c>
      <c r="G6" s="55" t="n">
        <v>0.03</v>
      </c>
      <c r="H6" s="55" t="n">
        <v>0.03</v>
      </c>
      <c r="I6" s="52" t="n">
        <v>16.5</v>
      </c>
    </row>
    <row r="7">
      <c r="A7" s="33" t="inlineStr">
        <is>
          <t>Auto &amp; Truck (manufacturers)</t>
        </is>
      </c>
      <c r="B7" s="33" t="n">
        <v>44</v>
      </c>
      <c r="C7" s="51" t="n">
        <v>0.95</v>
      </c>
      <c r="D7" s="55" t="n">
        <v>0.18</v>
      </c>
      <c r="E7" s="55" t="n">
        <v>0.12</v>
      </c>
      <c r="F7" s="55" t="n">
        <v>0.07000000000000001</v>
      </c>
      <c r="G7" s="55" t="n">
        <v>0.045</v>
      </c>
      <c r="H7" s="55" t="n">
        <v>0.04</v>
      </c>
      <c r="I7" s="52" t="n">
        <v>9.5</v>
      </c>
    </row>
    <row r="8">
      <c r="A8" s="33" t="inlineStr">
        <is>
          <t>Bank (Money Center)</t>
        </is>
      </c>
      <c r="B8" s="33" t="n">
        <v>17</v>
      </c>
      <c r="C8" s="51" t="n">
        <v>0.78</v>
      </c>
      <c r="D8" s="55" t="n">
        <v>0.55</v>
      </c>
      <c r="E8" s="55" t="n">
        <v>0.4</v>
      </c>
      <c r="F8" s="55" t="n">
        <v>0.35</v>
      </c>
      <c r="G8" s="55" t="n">
        <v>0.005</v>
      </c>
      <c r="H8" s="55" t="n">
        <v>0.01</v>
      </c>
      <c r="I8" s="52" t="n">
        <v>8.5</v>
      </c>
    </row>
    <row r="9">
      <c r="A9" s="33" t="inlineStr">
        <is>
          <t>Beverage (Alcoholic)</t>
        </is>
      </c>
      <c r="B9" s="33" t="n">
        <v>27</v>
      </c>
      <c r="C9" s="51" t="n">
        <v>0.62</v>
      </c>
      <c r="D9" s="55" t="n">
        <v>0.48</v>
      </c>
      <c r="E9" s="55" t="n">
        <v>0.27</v>
      </c>
      <c r="F9" s="55" t="n">
        <v>0.22</v>
      </c>
      <c r="G9" s="55" t="n">
        <v>0.04</v>
      </c>
      <c r="H9" s="55" t="n">
        <v>0.03</v>
      </c>
      <c r="I9" s="52" t="n">
        <v>14</v>
      </c>
    </row>
    <row r="10">
      <c r="A10" s="33" t="inlineStr">
        <is>
          <t>Beverage (Soft)</t>
        </is>
      </c>
      <c r="B10" s="33" t="n">
        <v>29</v>
      </c>
      <c r="C10" s="51" t="n">
        <v>0.71</v>
      </c>
      <c r="D10" s="55" t="n">
        <v>0.55</v>
      </c>
      <c r="E10" s="55" t="n">
        <v>0.28</v>
      </c>
      <c r="F10" s="55" t="n">
        <v>0.22</v>
      </c>
      <c r="G10" s="55" t="n">
        <v>0.045</v>
      </c>
      <c r="H10" s="55" t="n">
        <v>0.03</v>
      </c>
      <c r="I10" s="52" t="n">
        <v>16</v>
      </c>
    </row>
    <row r="11">
      <c r="A11" s="33" t="inlineStr">
        <is>
          <t>Biotechnology</t>
        </is>
      </c>
      <c r="B11" s="33" t="n">
        <v>532</v>
      </c>
      <c r="C11" s="51" t="n">
        <v>1.18</v>
      </c>
      <c r="D11" s="55" t="n">
        <v>0.6</v>
      </c>
      <c r="E11" s="55" t="n">
        <v>-0.1</v>
      </c>
      <c r="F11" s="55" t="n">
        <v>-0.3</v>
      </c>
      <c r="G11" s="55" t="n">
        <v>0.02</v>
      </c>
      <c r="H11" s="55" t="n">
        <v>0.03</v>
      </c>
      <c r="I11" s="52" t="n">
        <v>12</v>
      </c>
    </row>
    <row r="12">
      <c r="A12" s="33" t="inlineStr">
        <is>
          <t>Broadcasting</t>
        </is>
      </c>
      <c r="B12" s="33" t="n">
        <v>21</v>
      </c>
      <c r="C12" s="51" t="n">
        <v>0.95</v>
      </c>
      <c r="D12" s="55" t="n">
        <v>0.42</v>
      </c>
      <c r="E12" s="55" t="n">
        <v>0.32</v>
      </c>
      <c r="F12" s="55" t="n">
        <v>0.22</v>
      </c>
      <c r="G12" s="55" t="n">
        <v>0.02</v>
      </c>
      <c r="H12" s="55" t="n">
        <v>0.06</v>
      </c>
      <c r="I12" s="52" t="n">
        <v>8.5</v>
      </c>
    </row>
    <row r="13">
      <c r="A13" s="33" t="inlineStr">
        <is>
          <t>Building Materials</t>
        </is>
      </c>
      <c r="B13" s="33" t="n">
        <v>31</v>
      </c>
      <c r="C13" s="51" t="n">
        <v>1.08</v>
      </c>
      <c r="D13" s="55" t="n">
        <v>0.3</v>
      </c>
      <c r="E13" s="55" t="n">
        <v>0.18</v>
      </c>
      <c r="F13" s="55" t="n">
        <v>0.13</v>
      </c>
      <c r="G13" s="55" t="n">
        <v>0.04</v>
      </c>
      <c r="H13" s="55" t="n">
        <v>0.04</v>
      </c>
      <c r="I13" s="52" t="n">
        <v>9</v>
      </c>
    </row>
    <row r="14">
      <c r="A14" s="33" t="inlineStr">
        <is>
          <t>Business &amp; Consumer Services</t>
        </is>
      </c>
      <c r="B14" s="33" t="n">
        <v>168</v>
      </c>
      <c r="C14" s="51" t="n">
        <v>1.1</v>
      </c>
      <c r="D14" s="55" t="n">
        <v>0.45</v>
      </c>
      <c r="E14" s="55" t="n">
        <v>0.18</v>
      </c>
      <c r="F14" s="55" t="n">
        <v>0.12</v>
      </c>
      <c r="G14" s="55" t="n">
        <v>0.025</v>
      </c>
      <c r="H14" s="55" t="n">
        <v>0.035</v>
      </c>
      <c r="I14" s="52" t="n">
        <v>13</v>
      </c>
    </row>
    <row r="15">
      <c r="A15" s="33" t="inlineStr">
        <is>
          <t>Cable TV</t>
        </is>
      </c>
      <c r="B15" s="33" t="n">
        <v>10</v>
      </c>
      <c r="C15" s="51" t="n">
        <v>0.85</v>
      </c>
      <c r="D15" s="55" t="n">
        <v>0.55</v>
      </c>
      <c r="E15" s="55" t="n">
        <v>0.36</v>
      </c>
      <c r="F15" s="55" t="n">
        <v>0.2</v>
      </c>
      <c r="G15" s="55" t="n">
        <v>0.13</v>
      </c>
      <c r="H15" s="55" t="n">
        <v>0.14</v>
      </c>
      <c r="I15" s="52" t="n">
        <v>7</v>
      </c>
    </row>
    <row r="16">
      <c r="A16" s="33" t="inlineStr">
        <is>
          <t>Chemical (Diversified)</t>
        </is>
      </c>
      <c r="B16" s="33" t="n">
        <v>23</v>
      </c>
      <c r="C16" s="51" t="n">
        <v>1.04</v>
      </c>
      <c r="D16" s="55" t="n">
        <v>0.22</v>
      </c>
      <c r="E16" s="55" t="n">
        <v>0.16</v>
      </c>
      <c r="F16" s="55" t="n">
        <v>0.12</v>
      </c>
      <c r="G16" s="55" t="n">
        <v>0.04</v>
      </c>
      <c r="H16" s="55" t="n">
        <v>0.03</v>
      </c>
      <c r="I16" s="52" t="n">
        <v>9.5</v>
      </c>
    </row>
    <row r="17">
      <c r="A17" s="33" t="inlineStr">
        <is>
          <t>Computer Services</t>
        </is>
      </c>
      <c r="B17" s="33" t="n">
        <v>63</v>
      </c>
      <c r="C17" s="51" t="n">
        <v>1.15</v>
      </c>
      <c r="D17" s="55" t="n">
        <v>0.3</v>
      </c>
      <c r="E17" s="55" t="n">
        <v>0.18</v>
      </c>
      <c r="F17" s="55" t="n">
        <v>0.14</v>
      </c>
      <c r="G17" s="55" t="n">
        <v>0.025</v>
      </c>
      <c r="H17" s="55" t="n">
        <v>0.03</v>
      </c>
      <c r="I17" s="52" t="n">
        <v>14.5</v>
      </c>
    </row>
    <row r="18">
      <c r="A18" s="33" t="inlineStr">
        <is>
          <t>Computers/Peripherals</t>
        </is>
      </c>
      <c r="B18" s="33" t="n">
        <v>29</v>
      </c>
      <c r="C18" s="51" t="n">
        <v>1.2</v>
      </c>
      <c r="D18" s="55" t="n">
        <v>0.4</v>
      </c>
      <c r="E18" s="55" t="n">
        <v>0.22</v>
      </c>
      <c r="F18" s="55" t="n">
        <v>0.18</v>
      </c>
      <c r="G18" s="55" t="n">
        <v>0.02</v>
      </c>
      <c r="H18" s="55" t="n">
        <v>0.025</v>
      </c>
      <c r="I18" s="52" t="n">
        <v>15</v>
      </c>
    </row>
    <row r="19">
      <c r="A19" s="33" t="inlineStr">
        <is>
          <t>Construction Supplies</t>
        </is>
      </c>
      <c r="B19" s="33" t="n">
        <v>38</v>
      </c>
      <c r="C19" s="51" t="n">
        <v>1.02</v>
      </c>
      <c r="D19" s="55" t="n">
        <v>0.3</v>
      </c>
      <c r="E19" s="55" t="n">
        <v>0.16</v>
      </c>
      <c r="F19" s="55" t="n">
        <v>0.12</v>
      </c>
      <c r="G19" s="55" t="n">
        <v>0.035</v>
      </c>
      <c r="H19" s="55" t="n">
        <v>0.03</v>
      </c>
      <c r="I19" s="52" t="n">
        <v>9.5</v>
      </c>
    </row>
    <row r="20">
      <c r="A20" s="33" t="inlineStr">
        <is>
          <t>Drugs (Biotechnology)</t>
        </is>
      </c>
      <c r="B20" s="33" t="n">
        <v>532</v>
      </c>
      <c r="C20" s="51" t="n">
        <v>1.18</v>
      </c>
      <c r="D20" s="55" t="n">
        <v>0.6</v>
      </c>
      <c r="E20" s="55" t="n">
        <v>-0.1</v>
      </c>
      <c r="F20" s="55" t="n">
        <v>-0.3</v>
      </c>
      <c r="G20" s="55" t="n">
        <v>0.02</v>
      </c>
      <c r="H20" s="55" t="n">
        <v>0.03</v>
      </c>
      <c r="I20" s="52" t="n">
        <v>12</v>
      </c>
    </row>
    <row r="21">
      <c r="A21" s="33" t="inlineStr">
        <is>
          <t>Drugs (Pharmaceutical)</t>
        </is>
      </c>
      <c r="B21" s="33" t="n">
        <v>155</v>
      </c>
      <c r="C21" s="51" t="n">
        <v>0.95</v>
      </c>
      <c r="D21" s="55" t="n">
        <v>0.65</v>
      </c>
      <c r="E21" s="55" t="n">
        <v>0.3</v>
      </c>
      <c r="F21" s="55" t="n">
        <v>0.22</v>
      </c>
      <c r="G21" s="55" t="n">
        <v>0.03</v>
      </c>
      <c r="H21" s="55" t="n">
        <v>0.04</v>
      </c>
      <c r="I21" s="52" t="n">
        <v>14</v>
      </c>
    </row>
    <row r="22">
      <c r="A22" s="33" t="inlineStr">
        <is>
          <t>Education</t>
        </is>
      </c>
      <c r="B22" s="33" t="n">
        <v>33</v>
      </c>
      <c r="C22" s="51" t="n">
        <v>1.1</v>
      </c>
      <c r="D22" s="55" t="n">
        <v>0.5</v>
      </c>
      <c r="E22" s="55" t="n">
        <v>0.18</v>
      </c>
      <c r="F22" s="55" t="n">
        <v>0.13</v>
      </c>
      <c r="G22" s="55" t="n">
        <v>0.04</v>
      </c>
      <c r="H22" s="55" t="n">
        <v>0.03</v>
      </c>
      <c r="I22" s="52" t="n">
        <v>12</v>
      </c>
    </row>
    <row r="23">
      <c r="A23" s="33" t="inlineStr">
        <is>
          <t>Electrical Equipment</t>
        </is>
      </c>
      <c r="B23" s="33" t="n">
        <v>103</v>
      </c>
      <c r="C23" s="51" t="n">
        <v>1.06</v>
      </c>
      <c r="D23" s="55" t="n">
        <v>0.32</v>
      </c>
      <c r="E23" s="55" t="n">
        <v>0.17</v>
      </c>
      <c r="F23" s="55" t="n">
        <v>0.12</v>
      </c>
      <c r="G23" s="55" t="n">
        <v>0.03</v>
      </c>
      <c r="H23" s="55" t="n">
        <v>0.03</v>
      </c>
      <c r="I23" s="52" t="n">
        <v>12</v>
      </c>
    </row>
    <row r="24">
      <c r="A24" s="33" t="inlineStr">
        <is>
          <t>Engineering/Construction</t>
        </is>
      </c>
      <c r="B24" s="33" t="n">
        <v>48</v>
      </c>
      <c r="C24" s="51" t="n">
        <v>1.1</v>
      </c>
      <c r="D24" s="55" t="n">
        <v>0.18</v>
      </c>
      <c r="E24" s="55" t="n">
        <v>0.1</v>
      </c>
      <c r="F24" s="55" t="n">
        <v>0.07000000000000001</v>
      </c>
      <c r="G24" s="55" t="n">
        <v>0.03</v>
      </c>
      <c r="H24" s="55" t="n">
        <v>0.02</v>
      </c>
      <c r="I24" s="52" t="n">
        <v>9</v>
      </c>
    </row>
    <row r="25">
      <c r="A25" s="33" t="inlineStr">
        <is>
          <t>Entertainment</t>
        </is>
      </c>
      <c r="B25" s="33" t="n">
        <v>73</v>
      </c>
      <c r="C25" s="51" t="n">
        <v>1.1</v>
      </c>
      <c r="D25" s="55" t="n">
        <v>0.4</v>
      </c>
      <c r="E25" s="55" t="n">
        <v>0.16</v>
      </c>
      <c r="F25" s="55" t="n">
        <v>0.1</v>
      </c>
      <c r="G25" s="55" t="n">
        <v>0.04</v>
      </c>
      <c r="H25" s="55" t="n">
        <v>0.06</v>
      </c>
      <c r="I25" s="52" t="n">
        <v>13</v>
      </c>
    </row>
    <row r="26">
      <c r="A26" s="33" t="inlineStr">
        <is>
          <t>Environmental &amp; Waste Services</t>
        </is>
      </c>
      <c r="B26" s="33" t="n">
        <v>87</v>
      </c>
      <c r="C26" s="51" t="n">
        <v>0.86</v>
      </c>
      <c r="D26" s="55" t="n">
        <v>0.35</v>
      </c>
      <c r="E26" s="55" t="n">
        <v>0.24</v>
      </c>
      <c r="F26" s="55" t="n">
        <v>0.15</v>
      </c>
      <c r="G26" s="55" t="n">
        <v>0.08</v>
      </c>
      <c r="H26" s="55" t="n">
        <v>0.09</v>
      </c>
      <c r="I26" s="52" t="n">
        <v>12</v>
      </c>
    </row>
    <row r="27">
      <c r="A27" s="33" t="inlineStr">
        <is>
          <t>Financial Svcs. (Non-bank)</t>
        </is>
      </c>
      <c r="B27" s="33" t="n">
        <v>240</v>
      </c>
      <c r="C27" s="51" t="n">
        <v>1</v>
      </c>
      <c r="D27" s="55" t="n">
        <v>0.45</v>
      </c>
      <c r="E27" s="55" t="n">
        <v>0.3</v>
      </c>
      <c r="F27" s="55" t="n">
        <v>0.22</v>
      </c>
      <c r="G27" s="55" t="n">
        <v>0.01</v>
      </c>
      <c r="H27" s="55" t="n">
        <v>0.02</v>
      </c>
      <c r="I27" s="52" t="n">
        <v>11</v>
      </c>
    </row>
    <row r="28">
      <c r="A28" s="33" t="inlineStr">
        <is>
          <t>Food Processing</t>
        </is>
      </c>
      <c r="B28" s="33" t="n">
        <v>79</v>
      </c>
      <c r="C28" s="51" t="n">
        <v>0.55</v>
      </c>
      <c r="D28" s="55" t="n">
        <v>0.3</v>
      </c>
      <c r="E28" s="55" t="n">
        <v>0.15</v>
      </c>
      <c r="F28" s="55" t="n">
        <v>0.11</v>
      </c>
      <c r="G28" s="55" t="n">
        <v>0.04</v>
      </c>
      <c r="H28" s="55" t="n">
        <v>0.03</v>
      </c>
      <c r="I28" s="52" t="n">
        <v>11.5</v>
      </c>
    </row>
    <row r="29">
      <c r="A29" s="33" t="inlineStr">
        <is>
          <t>Furn/Home Furnishings</t>
        </is>
      </c>
      <c r="B29" s="33" t="n">
        <v>32</v>
      </c>
      <c r="C29" s="51" t="n">
        <v>1.1</v>
      </c>
      <c r="D29" s="55" t="n">
        <v>0.32</v>
      </c>
      <c r="E29" s="55" t="n">
        <v>0.13</v>
      </c>
      <c r="F29" s="55" t="n">
        <v>0.09</v>
      </c>
      <c r="G29" s="55" t="n">
        <v>0.025</v>
      </c>
      <c r="H29" s="55" t="n">
        <v>0.025</v>
      </c>
      <c r="I29" s="52" t="n">
        <v>9</v>
      </c>
    </row>
    <row r="30">
      <c r="A30" s="33" t="inlineStr">
        <is>
          <t>Green &amp; Renewable Energy</t>
        </is>
      </c>
      <c r="B30" s="33" t="n">
        <v>24</v>
      </c>
      <c r="C30" s="51" t="n">
        <v>1.05</v>
      </c>
      <c r="D30" s="55" t="n">
        <v>0.35</v>
      </c>
      <c r="E30" s="55" t="n">
        <v>0.45</v>
      </c>
      <c r="F30" s="55" t="n">
        <v>0.18</v>
      </c>
      <c r="G30" s="55" t="n">
        <v>0.18</v>
      </c>
      <c r="H30" s="55" t="n">
        <v>0.22</v>
      </c>
      <c r="I30" s="52" t="n">
        <v>14</v>
      </c>
    </row>
    <row r="31">
      <c r="A31" s="33" t="inlineStr">
        <is>
          <t>Healthcare Products</t>
        </is>
      </c>
      <c r="B31" s="33" t="n">
        <v>238</v>
      </c>
      <c r="C31" s="51" t="n">
        <v>1.04</v>
      </c>
      <c r="D31" s="55" t="n">
        <v>0.55</v>
      </c>
      <c r="E31" s="55" t="n">
        <v>0.2</v>
      </c>
      <c r="F31" s="55" t="n">
        <v>0.14</v>
      </c>
      <c r="G31" s="55" t="n">
        <v>0.03</v>
      </c>
      <c r="H31" s="55" t="n">
        <v>0.04</v>
      </c>
      <c r="I31" s="52" t="n">
        <v>16</v>
      </c>
    </row>
    <row r="32">
      <c r="A32" s="33" t="inlineStr">
        <is>
          <t>Healthcare Services</t>
        </is>
      </c>
      <c r="B32" s="33" t="n">
        <v>103</v>
      </c>
      <c r="C32" s="51" t="n">
        <v>1.05</v>
      </c>
      <c r="D32" s="55" t="n">
        <v>0.3</v>
      </c>
      <c r="E32" s="55" t="n">
        <v>0.13</v>
      </c>
      <c r="F32" s="55" t="n">
        <v>0.08</v>
      </c>
      <c r="G32" s="55" t="n">
        <v>0.025</v>
      </c>
      <c r="H32" s="55" t="n">
        <v>0.03</v>
      </c>
      <c r="I32" s="52" t="n">
        <v>12</v>
      </c>
    </row>
    <row r="33">
      <c r="A33" s="33" t="inlineStr">
        <is>
          <t>Heavy Construction</t>
        </is>
      </c>
      <c r="B33" s="33" t="n">
        <v>46</v>
      </c>
      <c r="C33" s="51" t="n">
        <v>1.2</v>
      </c>
      <c r="D33" s="55" t="n">
        <v>0.18</v>
      </c>
      <c r="E33" s="55" t="n">
        <v>0.11</v>
      </c>
      <c r="F33" s="55" t="n">
        <v>0.07000000000000001</v>
      </c>
      <c r="G33" s="55" t="n">
        <v>0.04</v>
      </c>
      <c r="H33" s="55" t="n">
        <v>0.03</v>
      </c>
      <c r="I33" s="52" t="n">
        <v>9.5</v>
      </c>
    </row>
    <row r="34">
      <c r="A34" s="33" t="inlineStr">
        <is>
          <t>Homebuilding</t>
        </is>
      </c>
      <c r="B34" s="33" t="n">
        <v>31</v>
      </c>
      <c r="C34" s="51" t="n">
        <v>1.3</v>
      </c>
      <c r="D34" s="55" t="n">
        <v>0.22</v>
      </c>
      <c r="E34" s="55" t="n">
        <v>0.16</v>
      </c>
      <c r="F34" s="55" t="n">
        <v>0.14</v>
      </c>
      <c r="G34" s="55" t="n">
        <v>0.005</v>
      </c>
      <c r="H34" s="55" t="n">
        <v>0.005</v>
      </c>
      <c r="I34" s="52" t="n">
        <v>8.5</v>
      </c>
    </row>
    <row r="35">
      <c r="A35" s="33" t="inlineStr">
        <is>
          <t>Hospitals/Healthcare Facilities</t>
        </is>
      </c>
      <c r="B35" s="33" t="n">
        <v>36</v>
      </c>
      <c r="C35" s="51" t="n">
        <v>0.85</v>
      </c>
      <c r="D35" s="55" t="n">
        <v>0.32</v>
      </c>
      <c r="E35" s="55" t="n">
        <v>0.13</v>
      </c>
      <c r="F35" s="55" t="n">
        <v>0.07000000000000001</v>
      </c>
      <c r="G35" s="55" t="n">
        <v>0.04</v>
      </c>
      <c r="H35" s="55" t="n">
        <v>0.05</v>
      </c>
      <c r="I35" s="52" t="n">
        <v>10.5</v>
      </c>
    </row>
    <row r="36">
      <c r="A36" s="33" t="inlineStr">
        <is>
          <t>Hotel/Gaming</t>
        </is>
      </c>
      <c r="B36" s="33" t="n">
        <v>73</v>
      </c>
      <c r="C36" s="51" t="n">
        <v>1.3</v>
      </c>
      <c r="D36" s="55" t="n">
        <v>0.45</v>
      </c>
      <c r="E36" s="55" t="n">
        <v>0.22</v>
      </c>
      <c r="F36" s="55" t="n">
        <v>0.13</v>
      </c>
      <c r="G36" s="55" t="n">
        <v>0.06</v>
      </c>
      <c r="H36" s="55" t="n">
        <v>0.08</v>
      </c>
      <c r="I36" s="52" t="n">
        <v>11.5</v>
      </c>
    </row>
    <row r="37">
      <c r="A37" s="33" t="inlineStr">
        <is>
          <t>Household Products</t>
        </is>
      </c>
      <c r="B37" s="33" t="n">
        <v>46</v>
      </c>
      <c r="C37" s="51" t="n">
        <v>0.78</v>
      </c>
      <c r="D37" s="55" t="n">
        <v>0.42</v>
      </c>
      <c r="E37" s="55" t="n">
        <v>0.18</v>
      </c>
      <c r="F37" s="55" t="n">
        <v>0.13</v>
      </c>
      <c r="G37" s="55" t="n">
        <v>0.03</v>
      </c>
      <c r="H37" s="55" t="n">
        <v>0.03</v>
      </c>
      <c r="I37" s="52" t="n">
        <v>14.5</v>
      </c>
    </row>
    <row r="38">
      <c r="A38" s="33" t="inlineStr">
        <is>
          <t>Information Services</t>
        </is>
      </c>
      <c r="B38" s="33" t="n">
        <v>74</v>
      </c>
      <c r="C38" s="51" t="n">
        <v>1</v>
      </c>
      <c r="D38" s="55" t="n">
        <v>0.5</v>
      </c>
      <c r="E38" s="55" t="n">
        <v>0.3</v>
      </c>
      <c r="F38" s="55" t="n">
        <v>0.22</v>
      </c>
      <c r="G38" s="55" t="n">
        <v>0.03</v>
      </c>
      <c r="H38" s="55" t="n">
        <v>0.06</v>
      </c>
      <c r="I38" s="52" t="n">
        <v>17</v>
      </c>
    </row>
    <row r="39">
      <c r="A39" s="33" t="inlineStr">
        <is>
          <t>Insurance (General)</t>
        </is>
      </c>
      <c r="B39" s="33" t="n">
        <v>20</v>
      </c>
      <c r="C39" s="51" t="n">
        <v>0.78</v>
      </c>
      <c r="D39" s="55" t="n">
        <v>0.3</v>
      </c>
      <c r="E39" s="55" t="n">
        <v>0.18</v>
      </c>
      <c r="F39" s="55" t="n">
        <v>0.14</v>
      </c>
      <c r="G39" s="55" t="n">
        <v>0.005</v>
      </c>
      <c r="H39" s="55" t="n">
        <v>0.01</v>
      </c>
      <c r="I39" s="52" t="n">
        <v>9.5</v>
      </c>
    </row>
    <row r="40">
      <c r="A40" s="33" t="inlineStr">
        <is>
          <t>Insurance (Life)</t>
        </is>
      </c>
      <c r="B40" s="33" t="n">
        <v>23</v>
      </c>
      <c r="C40" s="51" t="n">
        <v>0.95</v>
      </c>
      <c r="D40" s="55" t="n">
        <v>0.3</v>
      </c>
      <c r="E40" s="55" t="n">
        <v>0.2</v>
      </c>
      <c r="F40" s="55" t="n">
        <v>0.15</v>
      </c>
      <c r="G40" s="55" t="n">
        <v>0.005</v>
      </c>
      <c r="H40" s="55" t="n">
        <v>0.01</v>
      </c>
      <c r="I40" s="52" t="n">
        <v>8</v>
      </c>
    </row>
    <row r="41">
      <c r="A41" s="33" t="inlineStr">
        <is>
          <t>Insurance (Property/Casualty)</t>
        </is>
      </c>
      <c r="B41" s="33" t="n">
        <v>50</v>
      </c>
      <c r="C41" s="51" t="n">
        <v>0.78</v>
      </c>
      <c r="D41" s="55" t="n">
        <v>0.3</v>
      </c>
      <c r="E41" s="55" t="n">
        <v>0.2</v>
      </c>
      <c r="F41" s="55" t="n">
        <v>0.16</v>
      </c>
      <c r="G41" s="55" t="n">
        <v>0.005</v>
      </c>
      <c r="H41" s="55" t="n">
        <v>0.01</v>
      </c>
      <c r="I41" s="52" t="n">
        <v>9.5</v>
      </c>
    </row>
    <row r="42">
      <c r="A42" s="33" t="inlineStr">
        <is>
          <t>Investments &amp; Asset Management</t>
        </is>
      </c>
      <c r="B42" s="33" t="n">
        <v>170</v>
      </c>
      <c r="C42" s="51" t="n">
        <v>1.1</v>
      </c>
      <c r="D42" s="55" t="n">
        <v>0.55</v>
      </c>
      <c r="E42" s="55" t="n">
        <v>0.4</v>
      </c>
      <c r="F42" s="55" t="n">
        <v>0.32</v>
      </c>
      <c r="G42" s="55" t="n">
        <v>0.005</v>
      </c>
      <c r="H42" s="55" t="n">
        <v>0.01</v>
      </c>
      <c r="I42" s="52" t="n">
        <v>12</v>
      </c>
    </row>
    <row r="43">
      <c r="A43" s="33" t="inlineStr">
        <is>
          <t>Machinery</t>
        </is>
      </c>
      <c r="B43" s="33" t="n">
        <v>111</v>
      </c>
      <c r="C43" s="51" t="n">
        <v>1.04</v>
      </c>
      <c r="D43" s="55" t="n">
        <v>0.3</v>
      </c>
      <c r="E43" s="55" t="n">
        <v>0.16</v>
      </c>
      <c r="F43" s="55" t="n">
        <v>0.12</v>
      </c>
      <c r="G43" s="55" t="n">
        <v>0.03</v>
      </c>
      <c r="H43" s="55" t="n">
        <v>0.03</v>
      </c>
      <c r="I43" s="52" t="n">
        <v>12</v>
      </c>
    </row>
    <row r="44">
      <c r="A44" s="33" t="inlineStr">
        <is>
          <t>Metals &amp; Mining</t>
        </is>
      </c>
      <c r="B44" s="33" t="n">
        <v>101</v>
      </c>
      <c r="C44" s="51" t="n">
        <v>1.2</v>
      </c>
      <c r="D44" s="55" t="n">
        <v>0.2</v>
      </c>
      <c r="E44" s="55" t="n">
        <v>0.18</v>
      </c>
      <c r="F44" s="55" t="n">
        <v>0.1</v>
      </c>
      <c r="G44" s="55" t="n">
        <v>0.08</v>
      </c>
      <c r="H44" s="55" t="n">
        <v>0.08</v>
      </c>
      <c r="I44" s="52" t="n">
        <v>7.5</v>
      </c>
    </row>
    <row r="45">
      <c r="A45" s="33" t="inlineStr">
        <is>
          <t>Office Equipment &amp; Services</t>
        </is>
      </c>
      <c r="B45" s="33" t="n">
        <v>17</v>
      </c>
      <c r="C45" s="51" t="n">
        <v>0.92</v>
      </c>
      <c r="D45" s="55" t="n">
        <v>0.35</v>
      </c>
      <c r="E45" s="55" t="n">
        <v>0.16</v>
      </c>
      <c r="F45" s="55" t="n">
        <v>0.1</v>
      </c>
      <c r="G45" s="55" t="n">
        <v>0.03</v>
      </c>
      <c r="H45" s="55" t="n">
        <v>0.04</v>
      </c>
      <c r="I45" s="52" t="n">
        <v>9</v>
      </c>
    </row>
    <row r="46">
      <c r="A46" s="33" t="inlineStr">
        <is>
          <t>Oil/Gas (Integrated)</t>
        </is>
      </c>
      <c r="B46" s="33" t="n">
        <v>4</v>
      </c>
      <c r="C46" s="51" t="n">
        <v>0.92</v>
      </c>
      <c r="D46" s="55" t="n">
        <v>0.3</v>
      </c>
      <c r="E46" s="55" t="n">
        <v>0.18</v>
      </c>
      <c r="F46" s="55" t="n">
        <v>0.13</v>
      </c>
      <c r="G46" s="55" t="n">
        <v>0.08</v>
      </c>
      <c r="H46" s="55" t="n">
        <v>0.08</v>
      </c>
      <c r="I46" s="52" t="n">
        <v>6.5</v>
      </c>
    </row>
    <row r="47">
      <c r="A47" s="33" t="inlineStr">
        <is>
          <t>Oil/Gas (Production/Exploration)</t>
        </is>
      </c>
      <c r="B47" s="33" t="n">
        <v>235</v>
      </c>
      <c r="C47" s="51" t="n">
        <v>1.05</v>
      </c>
      <c r="D47" s="55" t="n">
        <v>0.55</v>
      </c>
      <c r="E47" s="55" t="n">
        <v>0.42</v>
      </c>
      <c r="F47" s="55" t="n">
        <v>0.18</v>
      </c>
      <c r="G47" s="55" t="n">
        <v>0.22</v>
      </c>
      <c r="H47" s="55" t="n">
        <v>0.25</v>
      </c>
      <c r="I47" s="52" t="n">
        <v>5.5</v>
      </c>
    </row>
    <row r="48">
      <c r="A48" s="33" t="inlineStr">
        <is>
          <t>Oilfield Svcs/Equip.</t>
        </is>
      </c>
      <c r="B48" s="33" t="n">
        <v>84</v>
      </c>
      <c r="C48" s="51" t="n">
        <v>1.18</v>
      </c>
      <c r="D48" s="55" t="n">
        <v>0.2</v>
      </c>
      <c r="E48" s="55" t="n">
        <v>0.18</v>
      </c>
      <c r="F48" s="55" t="n">
        <v>0.1</v>
      </c>
      <c r="G48" s="55" t="n">
        <v>0.06</v>
      </c>
      <c r="H48" s="55" t="n">
        <v>0.08</v>
      </c>
      <c r="I48" s="52" t="n">
        <v>8.5</v>
      </c>
    </row>
    <row r="49">
      <c r="A49" s="33" t="inlineStr">
        <is>
          <t>Packaging &amp; Container</t>
        </is>
      </c>
      <c r="B49" s="33" t="n">
        <v>24</v>
      </c>
      <c r="C49" s="51" t="n">
        <v>0.86</v>
      </c>
      <c r="D49" s="55" t="n">
        <v>0.2</v>
      </c>
      <c r="E49" s="55" t="n">
        <v>0.14</v>
      </c>
      <c r="F49" s="55" t="n">
        <v>0.1</v>
      </c>
      <c r="G49" s="55" t="n">
        <v>0.045</v>
      </c>
      <c r="H49" s="55" t="n">
        <v>0.04</v>
      </c>
      <c r="I49" s="52" t="n">
        <v>9.5</v>
      </c>
    </row>
    <row r="50">
      <c r="A50" s="33" t="inlineStr">
        <is>
          <t>Paper/Forest Products</t>
        </is>
      </c>
      <c r="B50" s="33" t="n">
        <v>13</v>
      </c>
      <c r="C50" s="51" t="n">
        <v>0.92</v>
      </c>
      <c r="D50" s="55" t="n">
        <v>0.18</v>
      </c>
      <c r="E50" s="55" t="n">
        <v>0.16</v>
      </c>
      <c r="F50" s="55" t="n">
        <v>0.09</v>
      </c>
      <c r="G50" s="55" t="n">
        <v>0.05</v>
      </c>
      <c r="H50" s="55" t="n">
        <v>0.06</v>
      </c>
      <c r="I50" s="52" t="n">
        <v>8.5</v>
      </c>
    </row>
    <row r="51">
      <c r="A51" s="33" t="inlineStr">
        <is>
          <t>Power</t>
        </is>
      </c>
      <c r="B51" s="33" t="n">
        <v>54</v>
      </c>
      <c r="C51" s="51" t="n">
        <v>0.4</v>
      </c>
      <c r="D51" s="55" t="n">
        <v>0.4</v>
      </c>
      <c r="E51" s="55" t="n">
        <v>0.3</v>
      </c>
      <c r="F51" s="55" t="n">
        <v>0.18</v>
      </c>
      <c r="G51" s="55" t="n">
        <v>0.11</v>
      </c>
      <c r="H51" s="55" t="n">
        <v>0.12</v>
      </c>
      <c r="I51" s="52" t="n">
        <v>12</v>
      </c>
    </row>
    <row r="52">
      <c r="A52" s="33" t="inlineStr">
        <is>
          <t>Precious Metals</t>
        </is>
      </c>
      <c r="B52" s="33" t="n">
        <v>101</v>
      </c>
      <c r="C52" s="51" t="n">
        <v>1.1</v>
      </c>
      <c r="D52" s="55" t="n">
        <v>0.4</v>
      </c>
      <c r="E52" s="55" t="n">
        <v>0.3</v>
      </c>
      <c r="F52" s="55" t="n">
        <v>0.2</v>
      </c>
      <c r="G52" s="55" t="n">
        <v>0.09</v>
      </c>
      <c r="H52" s="55" t="n">
        <v>0.1</v>
      </c>
      <c r="I52" s="52" t="n">
        <v>9</v>
      </c>
    </row>
    <row r="53">
      <c r="A53" s="33" t="inlineStr">
        <is>
          <t>Publishing &amp; Newspapers</t>
        </is>
      </c>
      <c r="B53" s="33" t="n">
        <v>29</v>
      </c>
      <c r="C53" s="51" t="n">
        <v>1</v>
      </c>
      <c r="D53" s="55" t="n">
        <v>0.35</v>
      </c>
      <c r="E53" s="55" t="n">
        <v>0.13</v>
      </c>
      <c r="F53" s="55" t="n">
        <v>0.07000000000000001</v>
      </c>
      <c r="G53" s="55" t="n">
        <v>0.02</v>
      </c>
      <c r="H53" s="55" t="n">
        <v>0.04</v>
      </c>
      <c r="I53" s="52" t="n">
        <v>9.5</v>
      </c>
    </row>
    <row r="54">
      <c r="A54" s="33" t="inlineStr">
        <is>
          <t>R.E.I.T.</t>
        </is>
      </c>
      <c r="B54" s="33" t="n">
        <v>228</v>
      </c>
      <c r="C54" s="51" t="n">
        <v>0.65</v>
      </c>
      <c r="D54" s="55" t="n">
        <v>0.55</v>
      </c>
      <c r="E54" s="55" t="n">
        <v>0.55</v>
      </c>
      <c r="F54" s="55" t="n">
        <v>0.27</v>
      </c>
      <c r="G54" s="55" t="n">
        <v>0.08</v>
      </c>
      <c r="H54" s="55" t="n">
        <v>0.25</v>
      </c>
      <c r="I54" s="52" t="n">
        <v>18</v>
      </c>
    </row>
    <row r="55">
      <c r="A55" s="33" t="inlineStr">
        <is>
          <t>Real Estate (Development)</t>
        </is>
      </c>
      <c r="B55" s="33" t="n">
        <v>22</v>
      </c>
      <c r="C55" s="51" t="n">
        <v>1.05</v>
      </c>
      <c r="D55" s="55" t="n">
        <v>0.3</v>
      </c>
      <c r="E55" s="55" t="n">
        <v>0.2</v>
      </c>
      <c r="F55" s="55" t="n">
        <v>0.15</v>
      </c>
      <c r="G55" s="55" t="n">
        <v>0.005</v>
      </c>
      <c r="H55" s="55" t="n">
        <v>0.01</v>
      </c>
      <c r="I55" s="52" t="n">
        <v>14</v>
      </c>
    </row>
    <row r="56">
      <c r="A56" s="33" t="inlineStr">
        <is>
          <t>Real Estate (Operations &amp; Services)</t>
        </is>
      </c>
      <c r="B56" s="33" t="n">
        <v>58</v>
      </c>
      <c r="C56" s="51" t="n">
        <v>1.05</v>
      </c>
      <c r="D56" s="55" t="n">
        <v>0.4</v>
      </c>
      <c r="E56" s="55" t="n">
        <v>0.22</v>
      </c>
      <c r="F56" s="55" t="n">
        <v>0.13</v>
      </c>
      <c r="G56" s="55" t="n">
        <v>0.02</v>
      </c>
      <c r="H56" s="55" t="n">
        <v>0.04</v>
      </c>
      <c r="I56" s="52" t="n">
        <v>13.5</v>
      </c>
    </row>
    <row r="57">
      <c r="A57" s="33" t="inlineStr">
        <is>
          <t>Recreation</t>
        </is>
      </c>
      <c r="B57" s="33" t="n">
        <v>66</v>
      </c>
      <c r="C57" s="51" t="n">
        <v>1.1</v>
      </c>
      <c r="D57" s="55" t="n">
        <v>0.35</v>
      </c>
      <c r="E57" s="55" t="n">
        <v>0.16</v>
      </c>
      <c r="F57" s="55" t="n">
        <v>0.1</v>
      </c>
      <c r="G57" s="55" t="n">
        <v>0.035</v>
      </c>
      <c r="H57" s="55" t="n">
        <v>0.045</v>
      </c>
      <c r="I57" s="52" t="n">
        <v>11</v>
      </c>
    </row>
    <row r="58">
      <c r="A58" s="33" t="inlineStr">
        <is>
          <t>Reinsurance</t>
        </is>
      </c>
      <c r="B58" s="33" t="n">
        <v>2</v>
      </c>
      <c r="C58" s="51" t="n">
        <v>0.95</v>
      </c>
      <c r="D58" s="55" t="n">
        <v>0.3</v>
      </c>
      <c r="E58" s="55" t="n">
        <v>0.2</v>
      </c>
      <c r="F58" s="55" t="n">
        <v>0.16</v>
      </c>
      <c r="G58" s="55" t="n">
        <v>0.005</v>
      </c>
      <c r="H58" s="55" t="n">
        <v>0.01</v>
      </c>
      <c r="I58" s="52" t="n">
        <v>9</v>
      </c>
    </row>
    <row r="59">
      <c r="A59" s="33" t="inlineStr">
        <is>
          <t>Restaurant/Dining</t>
        </is>
      </c>
      <c r="B59" s="33" t="n">
        <v>82</v>
      </c>
      <c r="C59" s="51" t="n">
        <v>1.04</v>
      </c>
      <c r="D59" s="55" t="n">
        <v>0.32</v>
      </c>
      <c r="E59" s="55" t="n">
        <v>0.16</v>
      </c>
      <c r="F59" s="55" t="n">
        <v>0.1</v>
      </c>
      <c r="G59" s="55" t="n">
        <v>0.045</v>
      </c>
      <c r="H59" s="55" t="n">
        <v>0.045</v>
      </c>
      <c r="I59" s="52" t="n">
        <v>14</v>
      </c>
    </row>
    <row r="60">
      <c r="A60" s="33" t="inlineStr">
        <is>
          <t>Retail (Automotive)</t>
        </is>
      </c>
      <c r="B60" s="33" t="n">
        <v>25</v>
      </c>
      <c r="C60" s="51" t="n">
        <v>1.1</v>
      </c>
      <c r="D60" s="55" t="n">
        <v>0.18</v>
      </c>
      <c r="E60" s="55" t="n">
        <v>0.07000000000000001</v>
      </c>
      <c r="F60" s="55" t="n">
        <v>0.05</v>
      </c>
      <c r="G60" s="55" t="n">
        <v>0.012</v>
      </c>
      <c r="H60" s="55" t="n">
        <v>0.01</v>
      </c>
      <c r="I60" s="52" t="n">
        <v>10</v>
      </c>
    </row>
    <row r="61">
      <c r="A61" s="33" t="inlineStr">
        <is>
          <t>Retail (Building Supply)</t>
        </is>
      </c>
      <c r="B61" s="33" t="n">
        <v>6</v>
      </c>
      <c r="C61" s="51" t="n">
        <v>0.92</v>
      </c>
      <c r="D61" s="55" t="n">
        <v>0.34</v>
      </c>
      <c r="E61" s="55" t="n">
        <v>0.13</v>
      </c>
      <c r="F61" s="55" t="n">
        <v>0.1</v>
      </c>
      <c r="G61" s="55" t="n">
        <v>0.025</v>
      </c>
      <c r="H61" s="55" t="n">
        <v>0.025</v>
      </c>
      <c r="I61" s="52" t="n">
        <v>12</v>
      </c>
    </row>
    <row r="62">
      <c r="A62" s="33" t="inlineStr">
        <is>
          <t>Retail (Distributors)</t>
        </is>
      </c>
      <c r="B62" s="33" t="n">
        <v>77</v>
      </c>
      <c r="C62" s="51" t="n">
        <v>0.9</v>
      </c>
      <c r="D62" s="55" t="n">
        <v>0.2</v>
      </c>
      <c r="E62" s="55" t="n">
        <v>0.1</v>
      </c>
      <c r="F62" s="55" t="n">
        <v>0.07000000000000001</v>
      </c>
      <c r="G62" s="55" t="n">
        <v>0.02</v>
      </c>
      <c r="H62" s="55" t="n">
        <v>0.02</v>
      </c>
      <c r="I62" s="52" t="n">
        <v>10</v>
      </c>
    </row>
    <row r="63">
      <c r="A63" s="33" t="inlineStr">
        <is>
          <t>Retail (General)</t>
        </is>
      </c>
      <c r="B63" s="33" t="n">
        <v>17</v>
      </c>
      <c r="C63" s="51" t="n">
        <v>0.95</v>
      </c>
      <c r="D63" s="55" t="n">
        <v>0.3</v>
      </c>
      <c r="E63" s="55" t="n">
        <v>0.1</v>
      </c>
      <c r="F63" s="55" t="n">
        <v>0.07000000000000001</v>
      </c>
      <c r="G63" s="55" t="n">
        <v>0.02</v>
      </c>
      <c r="H63" s="55" t="n">
        <v>0.02</v>
      </c>
      <c r="I63" s="52" t="n">
        <v>9.5</v>
      </c>
    </row>
    <row r="64">
      <c r="A64" s="33" t="inlineStr">
        <is>
          <t>Retail (Grocery and Food)</t>
        </is>
      </c>
      <c r="B64" s="33" t="n">
        <v>11</v>
      </c>
      <c r="C64" s="51" t="n">
        <v>0.42</v>
      </c>
      <c r="D64" s="55" t="n">
        <v>0.28</v>
      </c>
      <c r="E64" s="55" t="n">
        <v>0.06</v>
      </c>
      <c r="F64" s="55" t="n">
        <v>0.04</v>
      </c>
      <c r="G64" s="55" t="n">
        <v>0.02</v>
      </c>
      <c r="H64" s="55" t="n">
        <v>0.025</v>
      </c>
      <c r="I64" s="52" t="n">
        <v>9</v>
      </c>
    </row>
    <row r="65">
      <c r="A65" s="33" t="inlineStr">
        <is>
          <t>Retail (Online)</t>
        </is>
      </c>
      <c r="B65" s="33" t="n">
        <v>64</v>
      </c>
      <c r="C65" s="51" t="n">
        <v>1.2</v>
      </c>
      <c r="D65" s="55" t="n">
        <v>0.38</v>
      </c>
      <c r="E65" s="55" t="n">
        <v>0.1</v>
      </c>
      <c r="F65" s="55" t="n">
        <v>0.06</v>
      </c>
      <c r="G65" s="55" t="n">
        <v>0.04</v>
      </c>
      <c r="H65" s="55" t="n">
        <v>0.04</v>
      </c>
      <c r="I65" s="52" t="n">
        <v>18.5</v>
      </c>
    </row>
    <row r="66">
      <c r="A66" s="33" t="inlineStr">
        <is>
          <t>Retail (Special Lines)</t>
        </is>
      </c>
      <c r="B66" s="33" t="n">
        <v>92</v>
      </c>
      <c r="C66" s="51" t="n">
        <v>1.04</v>
      </c>
      <c r="D66" s="55" t="n">
        <v>0.32</v>
      </c>
      <c r="E66" s="55" t="n">
        <v>0.1</v>
      </c>
      <c r="F66" s="55" t="n">
        <v>0.07000000000000001</v>
      </c>
      <c r="G66" s="55" t="n">
        <v>0.025</v>
      </c>
      <c r="H66" s="55" t="n">
        <v>0.03</v>
      </c>
      <c r="I66" s="52" t="n">
        <v>10</v>
      </c>
    </row>
    <row r="67">
      <c r="A67" s="33" t="inlineStr">
        <is>
          <t>Rubber &amp; Tires</t>
        </is>
      </c>
      <c r="B67" s="33" t="n">
        <v>4</v>
      </c>
      <c r="C67" s="51" t="n">
        <v>0.92</v>
      </c>
      <c r="D67" s="55" t="n">
        <v>0.2</v>
      </c>
      <c r="E67" s="55" t="n">
        <v>0.13</v>
      </c>
      <c r="F67" s="55" t="n">
        <v>0.07000000000000001</v>
      </c>
      <c r="G67" s="55" t="n">
        <v>0.03</v>
      </c>
      <c r="H67" s="55" t="n">
        <v>0.04</v>
      </c>
      <c r="I67" s="52" t="n">
        <v>8</v>
      </c>
    </row>
    <row r="68">
      <c r="A68" s="33" t="inlineStr">
        <is>
          <t>Semiconductor</t>
        </is>
      </c>
      <c r="B68" s="33" t="n">
        <v>71</v>
      </c>
      <c r="C68" s="51" t="n">
        <v>1.55</v>
      </c>
      <c r="D68" s="55" t="n">
        <v>0.5</v>
      </c>
      <c r="E68" s="55" t="n">
        <v>0.32</v>
      </c>
      <c r="F68" s="55" t="n">
        <v>0.22</v>
      </c>
      <c r="G68" s="55" t="n">
        <v>0.075</v>
      </c>
      <c r="H68" s="55" t="n">
        <v>0.06</v>
      </c>
      <c r="I68" s="52" t="n">
        <v>18</v>
      </c>
    </row>
    <row r="69">
      <c r="A69" s="33" t="inlineStr">
        <is>
          <t>Semiconductor Equip</t>
        </is>
      </c>
      <c r="B69" s="33" t="n">
        <v>37</v>
      </c>
      <c r="C69" s="51" t="n">
        <v>1.45</v>
      </c>
      <c r="D69" s="55" t="n">
        <v>0.45</v>
      </c>
      <c r="E69" s="55" t="n">
        <v>0.3</v>
      </c>
      <c r="F69" s="55" t="n">
        <v>0.22</v>
      </c>
      <c r="G69" s="55" t="n">
        <v>0.04</v>
      </c>
      <c r="H69" s="55" t="n">
        <v>0.04</v>
      </c>
      <c r="I69" s="52" t="n">
        <v>16</v>
      </c>
    </row>
    <row r="70">
      <c r="A70" s="33" t="inlineStr">
        <is>
          <t>Shipbuilding &amp; Marine</t>
        </is>
      </c>
      <c r="B70" s="33" t="n">
        <v>9</v>
      </c>
      <c r="C70" s="51" t="n">
        <v>1.04</v>
      </c>
      <c r="D70" s="55" t="n">
        <v>0.18</v>
      </c>
      <c r="E70" s="55" t="n">
        <v>0.12</v>
      </c>
      <c r="F70" s="55" t="n">
        <v>0.07000000000000001</v>
      </c>
      <c r="G70" s="55" t="n">
        <v>0.04</v>
      </c>
      <c r="H70" s="55" t="n">
        <v>0.04</v>
      </c>
      <c r="I70" s="52" t="n">
        <v>8</v>
      </c>
    </row>
    <row r="71">
      <c r="A71" s="33" t="inlineStr">
        <is>
          <t>Shoe</t>
        </is>
      </c>
      <c r="B71" s="33" t="n">
        <v>11</v>
      </c>
      <c r="C71" s="51" t="n">
        <v>1</v>
      </c>
      <c r="D71" s="55" t="n">
        <v>0.45</v>
      </c>
      <c r="E71" s="55" t="n">
        <v>0.18</v>
      </c>
      <c r="F71" s="55" t="n">
        <v>0.13</v>
      </c>
      <c r="G71" s="55" t="n">
        <v>0.025</v>
      </c>
      <c r="H71" s="55" t="n">
        <v>0.03</v>
      </c>
      <c r="I71" s="52" t="n">
        <v>14</v>
      </c>
    </row>
    <row r="72">
      <c r="A72" s="33" t="inlineStr">
        <is>
          <t>Software (Entertainment)</t>
        </is>
      </c>
      <c r="B72" s="33" t="n">
        <v>75</v>
      </c>
      <c r="C72" s="51" t="n">
        <v>1.3</v>
      </c>
      <c r="D72" s="55" t="n">
        <v>0.65</v>
      </c>
      <c r="E72" s="55" t="n">
        <v>0.25</v>
      </c>
      <c r="F72" s="55" t="n">
        <v>0.18</v>
      </c>
      <c r="G72" s="55" t="n">
        <v>0.03</v>
      </c>
      <c r="H72" s="55" t="n">
        <v>0.06</v>
      </c>
      <c r="I72" s="52" t="n">
        <v>18</v>
      </c>
    </row>
    <row r="73">
      <c r="A73" s="33" t="inlineStr">
        <is>
          <t>Software (Internet)</t>
        </is>
      </c>
      <c r="B73" s="33" t="n">
        <v>245</v>
      </c>
      <c r="C73" s="51" t="n">
        <v>1.3</v>
      </c>
      <c r="D73" s="55" t="n">
        <v>0.7</v>
      </c>
      <c r="E73" s="55" t="n">
        <v>0.16</v>
      </c>
      <c r="F73" s="55" t="n">
        <v>0.07000000000000001</v>
      </c>
      <c r="G73" s="55" t="n">
        <v>0.025</v>
      </c>
      <c r="H73" s="55" t="n">
        <v>0.06</v>
      </c>
      <c r="I73" s="52" t="n">
        <v>22</v>
      </c>
    </row>
    <row r="74">
      <c r="A74" s="33" t="inlineStr">
        <is>
          <t>Software (System &amp; Application)</t>
        </is>
      </c>
      <c r="B74" s="33" t="n">
        <v>367</v>
      </c>
      <c r="C74" s="51" t="n">
        <v>1.2</v>
      </c>
      <c r="D74" s="55" t="n">
        <v>0.72</v>
      </c>
      <c r="E74" s="55" t="n">
        <v>0.3</v>
      </c>
      <c r="F74" s="55" t="n">
        <v>0.22</v>
      </c>
      <c r="G74" s="55" t="n">
        <v>0.02</v>
      </c>
      <c r="H74" s="55" t="n">
        <v>0.06</v>
      </c>
      <c r="I74" s="52" t="n">
        <v>24</v>
      </c>
    </row>
    <row r="75">
      <c r="A75" s="33" t="inlineStr">
        <is>
          <t>Steel</t>
        </is>
      </c>
      <c r="B75" s="33" t="n">
        <v>32</v>
      </c>
      <c r="C75" s="51" t="n">
        <v>1.15</v>
      </c>
      <c r="D75" s="55" t="n">
        <v>0.16</v>
      </c>
      <c r="E75" s="55" t="n">
        <v>0.13</v>
      </c>
      <c r="F75" s="55" t="n">
        <v>0.08</v>
      </c>
      <c r="G75" s="55" t="n">
        <v>0.04</v>
      </c>
      <c r="H75" s="55" t="n">
        <v>0.04</v>
      </c>
      <c r="I75" s="52" t="n">
        <v>7.5</v>
      </c>
    </row>
    <row r="76">
      <c r="A76" s="33" t="inlineStr">
        <is>
          <t>Telecom (Wireless)</t>
        </is>
      </c>
      <c r="B76" s="33" t="n">
        <v>13</v>
      </c>
      <c r="C76" s="51" t="n">
        <v>0.85</v>
      </c>
      <c r="D76" s="55" t="n">
        <v>0.45</v>
      </c>
      <c r="E76" s="55" t="n">
        <v>0.36</v>
      </c>
      <c r="F76" s="55" t="n">
        <v>0.16</v>
      </c>
      <c r="G76" s="55" t="n">
        <v>0.18</v>
      </c>
      <c r="H76" s="55" t="n">
        <v>0.18</v>
      </c>
      <c r="I76" s="52" t="n">
        <v>7.5</v>
      </c>
    </row>
    <row r="77">
      <c r="A77" s="33" t="inlineStr">
        <is>
          <t>Telecom. Equipment</t>
        </is>
      </c>
      <c r="B77" s="33" t="n">
        <v>93</v>
      </c>
      <c r="C77" s="51" t="n">
        <v>1.04</v>
      </c>
      <c r="D77" s="55" t="n">
        <v>0.4</v>
      </c>
      <c r="E77" s="55" t="n">
        <v>0.18</v>
      </c>
      <c r="F77" s="55" t="n">
        <v>0.13</v>
      </c>
      <c r="G77" s="55" t="n">
        <v>0.025</v>
      </c>
      <c r="H77" s="55" t="n">
        <v>0.03</v>
      </c>
      <c r="I77" s="52" t="n">
        <v>11.5</v>
      </c>
    </row>
    <row r="78">
      <c r="A78" s="33" t="inlineStr">
        <is>
          <t>Telecom. Services</t>
        </is>
      </c>
      <c r="B78" s="33" t="n">
        <v>49</v>
      </c>
      <c r="C78" s="51" t="n">
        <v>0.65</v>
      </c>
      <c r="D78" s="55" t="n">
        <v>0.4</v>
      </c>
      <c r="E78" s="55" t="n">
        <v>0.34</v>
      </c>
      <c r="F78" s="55" t="n">
        <v>0.16</v>
      </c>
      <c r="G78" s="55" t="n">
        <v>0.14</v>
      </c>
      <c r="H78" s="55" t="n">
        <v>0.14</v>
      </c>
      <c r="I78" s="52" t="n">
        <v>7.5</v>
      </c>
    </row>
    <row r="79">
      <c r="A79" s="33" t="inlineStr">
        <is>
          <t>Tobacco</t>
        </is>
      </c>
      <c r="B79" s="33" t="n">
        <v>9</v>
      </c>
      <c r="C79" s="51" t="n">
        <v>0.5</v>
      </c>
      <c r="D79" s="55" t="n">
        <v>0.55</v>
      </c>
      <c r="E79" s="55" t="n">
        <v>0.4</v>
      </c>
      <c r="F79" s="55" t="n">
        <v>0.36</v>
      </c>
      <c r="G79" s="55" t="n">
        <v>0.02</v>
      </c>
      <c r="H79" s="55" t="n">
        <v>0.02</v>
      </c>
      <c r="I79" s="52" t="n">
        <v>11</v>
      </c>
    </row>
    <row r="80">
      <c r="A80" s="33" t="inlineStr">
        <is>
          <t>Transportation</t>
        </is>
      </c>
      <c r="B80" s="33" t="n">
        <v>25</v>
      </c>
      <c r="C80" s="51" t="n">
        <v>0.96</v>
      </c>
      <c r="D80" s="55" t="n">
        <v>0.18</v>
      </c>
      <c r="E80" s="55" t="n">
        <v>0.18</v>
      </c>
      <c r="F80" s="55" t="n">
        <v>0.13</v>
      </c>
      <c r="G80" s="55" t="n">
        <v>0.08</v>
      </c>
      <c r="H80" s="55" t="n">
        <v>0.06</v>
      </c>
      <c r="I80" s="52" t="n">
        <v>11</v>
      </c>
    </row>
    <row r="81">
      <c r="A81" s="33" t="inlineStr">
        <is>
          <t>Transportation (Railroads)</t>
        </is>
      </c>
      <c r="B81" s="33" t="n">
        <v>5</v>
      </c>
      <c r="C81" s="51" t="n">
        <v>0.85</v>
      </c>
      <c r="D81" s="55" t="n">
        <v>0.45</v>
      </c>
      <c r="E81" s="55" t="n">
        <v>0.42</v>
      </c>
      <c r="F81" s="55" t="n">
        <v>0.32</v>
      </c>
      <c r="G81" s="55" t="n">
        <v>0.15</v>
      </c>
      <c r="H81" s="55" t="n">
        <v>0.13</v>
      </c>
      <c r="I81" s="52" t="n">
        <v>11.5</v>
      </c>
    </row>
    <row r="82">
      <c r="A82" s="33" t="inlineStr">
        <is>
          <t>Trucking</t>
        </is>
      </c>
      <c r="B82" s="33" t="n">
        <v>36</v>
      </c>
      <c r="C82" s="51" t="n">
        <v>1.05</v>
      </c>
      <c r="D82" s="55" t="n">
        <v>0.13</v>
      </c>
      <c r="E82" s="55" t="n">
        <v>0.18</v>
      </c>
      <c r="F82" s="55" t="n">
        <v>0.1</v>
      </c>
      <c r="G82" s="55" t="n">
        <v>0.05</v>
      </c>
      <c r="H82" s="55" t="n">
        <v>0.06</v>
      </c>
      <c r="I82" s="52" t="n">
        <v>9.5</v>
      </c>
    </row>
    <row r="83">
      <c r="A83" s="33" t="inlineStr">
        <is>
          <t>Utility (General)</t>
        </is>
      </c>
      <c r="B83" s="33" t="n">
        <v>16</v>
      </c>
      <c r="C83" s="51" t="n">
        <v>0.36</v>
      </c>
      <c r="D83" s="55" t="n">
        <v>0.4</v>
      </c>
      <c r="E83" s="55" t="n">
        <v>0.32</v>
      </c>
      <c r="F83" s="55" t="n">
        <v>0.18</v>
      </c>
      <c r="G83" s="55" t="n">
        <v>0.13</v>
      </c>
      <c r="H83" s="55" t="n">
        <v>0.14</v>
      </c>
      <c r="I83" s="52" t="n">
        <v>12</v>
      </c>
    </row>
    <row r="84">
      <c r="A84" s="33" t="inlineStr">
        <is>
          <t>Utility (Water)</t>
        </is>
      </c>
      <c r="B84" s="33" t="n">
        <v>15</v>
      </c>
      <c r="C84" s="51" t="n">
        <v>0.6</v>
      </c>
      <c r="D84" s="55" t="n">
        <v>0.42</v>
      </c>
      <c r="E84" s="55" t="n">
        <v>0.45</v>
      </c>
      <c r="F84" s="55" t="n">
        <v>0.3</v>
      </c>
      <c r="G84" s="55" t="n">
        <v>0.18</v>
      </c>
      <c r="H84" s="55" t="n">
        <v>0.15</v>
      </c>
      <c r="I84" s="52"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5" t="inlineStr">
        <is>
          <t>Equity value (pre-discounts)</t>
        </is>
      </c>
      <c r="C12" s="53">
        <f>C7+C8+C9+C10+C11</f>
        <v/>
      </c>
      <c r="D12" s="53">
        <f>D7+D8+D9+D10+D11</f>
        <v/>
      </c>
    </row>
    <row r="14">
      <c r="A14" s="3" t="inlineStr">
        <is>
          <t>Marketability &amp; control discounts</t>
        </is>
      </c>
    </row>
    <row r="15">
      <c r="A15" s="4" t="inlineStr">
        <is>
          <t>DLOM rate</t>
        </is>
      </c>
      <c r="C15" s="55">
        <f>dlom_pct</f>
        <v/>
      </c>
      <c r="D15" s="55">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5">
        <f>dloc_pct</f>
        <v/>
      </c>
      <c r="D18" s="55">
        <f>dloc_pct</f>
        <v/>
      </c>
    </row>
    <row r="19">
      <c r="A19" s="4" t="inlineStr">
        <is>
          <t>Less: DLOC</t>
        </is>
      </c>
      <c r="C19" s="40">
        <f>-C17*C18</f>
        <v/>
      </c>
      <c r="D19" s="40">
        <f>-D17*D18</f>
        <v/>
      </c>
    </row>
    <row r="20">
      <c r="A20" s="45" t="inlineStr">
        <is>
          <t>Equity value after DLOM and DLOC</t>
        </is>
      </c>
      <c r="C20" s="53">
        <f>C17+C19</f>
        <v/>
      </c>
      <c r="D20" s="53">
        <f>D17+D19</f>
        <v/>
      </c>
    </row>
    <row r="22">
      <c r="A22" s="3" t="inlineStr">
        <is>
          <t>Client's equity interest</t>
        </is>
      </c>
    </row>
    <row r="23">
      <c r="A23" s="4" t="inlineStr">
        <is>
          <t>Equity interest held by client</t>
        </is>
      </c>
      <c r="C23" s="55">
        <f>equity_interest_pct</f>
        <v/>
      </c>
      <c r="D23" s="55">
        <f>equity_interest_pct</f>
        <v/>
      </c>
    </row>
    <row r="24">
      <c r="A24" s="45" t="inlineStr">
        <is>
          <t>Fair value of client's interest</t>
        </is>
      </c>
      <c r="C24" s="53">
        <f>C20*C23</f>
        <v/>
      </c>
      <c r="D24" s="53">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70" t="inlineStr">
        <is>
          <t>WACC ↓ / g →</t>
        </is>
      </c>
      <c r="C6" s="71">
        <f>terminal_growth_rate+(-3)*sens_terminal_g_step</f>
        <v/>
      </c>
      <c r="D6" s="71">
        <f>terminal_growth_rate+(-2)*sens_terminal_g_step</f>
        <v/>
      </c>
      <c r="E6" s="71">
        <f>terminal_growth_rate+(-1)*sens_terminal_g_step</f>
        <v/>
      </c>
      <c r="F6" s="71">
        <f>terminal_growth_rate+(0)*sens_terminal_g_step</f>
        <v/>
      </c>
      <c r="G6" s="71">
        <f>terminal_growth_rate+(1)*sens_terminal_g_step</f>
        <v/>
      </c>
      <c r="H6" s="71">
        <f>terminal_growth_rate+(2)*sens_terminal_g_step</f>
        <v/>
      </c>
      <c r="I6" s="71">
        <f>terminal_growth_rate+(3)*sens_terminal_g_step</f>
        <v/>
      </c>
    </row>
    <row r="7">
      <c r="B7" s="71">
        <f>wacc_per_mgmt+(-3)*sens_wacc_step</f>
        <v/>
      </c>
      <c r="C7" s="40">
        <f>IFERROR(Projections!D71/(1+$B$7)^1+Projections!E71/(1+$B$7)^2+Projections!F71/(1+$B$7)^3+Projections!G71/(1+$B$7)^4+Projections!H71/(1+$B$7)^5+Projections!H71*(1+C$6)/($B$7-C$6)/(1+$B$7)^5,"err")</f>
        <v/>
      </c>
      <c r="D7" s="40">
        <f>IFERROR(Projections!D71/(1+$B$7)^1+Projections!E71/(1+$B$7)^2+Projections!F71/(1+$B$7)^3+Projections!G71/(1+$B$7)^4+Projections!H71/(1+$B$7)^5+Projections!H71*(1+D$6)/($B$7-D$6)/(1+$B$7)^5,"err")</f>
        <v/>
      </c>
      <c r="E7" s="40">
        <f>IFERROR(Projections!D71/(1+$B$7)^1+Projections!E71/(1+$B$7)^2+Projections!F71/(1+$B$7)^3+Projections!G71/(1+$B$7)^4+Projections!H71/(1+$B$7)^5+Projections!H71*(1+E$6)/($B$7-E$6)/(1+$B$7)^5,"err")</f>
        <v/>
      </c>
      <c r="F7" s="40">
        <f>IFERROR(Projections!D71/(1+$B$7)^1+Projections!E71/(1+$B$7)^2+Projections!F71/(1+$B$7)^3+Projections!G71/(1+$B$7)^4+Projections!H71/(1+$B$7)^5+Projections!H71*(1+F$6)/($B$7-F$6)/(1+$B$7)^5,"err")</f>
        <v/>
      </c>
      <c r="G7" s="40">
        <f>IFERROR(Projections!D71/(1+$B$7)^1+Projections!E71/(1+$B$7)^2+Projections!F71/(1+$B$7)^3+Projections!G71/(1+$B$7)^4+Projections!H71/(1+$B$7)^5+Projections!H71*(1+G$6)/($B$7-G$6)/(1+$B$7)^5,"err")</f>
        <v/>
      </c>
      <c r="H7" s="40">
        <f>IFERROR(Projections!D71/(1+$B$7)^1+Projections!E71/(1+$B$7)^2+Projections!F71/(1+$B$7)^3+Projections!G71/(1+$B$7)^4+Projections!H71/(1+$B$7)^5+Projections!H71*(1+H$6)/($B$7-H$6)/(1+$B$7)^5,"err")</f>
        <v/>
      </c>
      <c r="I7" s="40">
        <f>IFERROR(Projections!D71/(1+$B$7)^1+Projections!E71/(1+$B$7)^2+Projections!F71/(1+$B$7)^3+Projections!G71/(1+$B$7)^4+Projections!H71/(1+$B$7)^5+Projections!H71*(1+I$6)/($B$7-I$6)/(1+$B$7)^5,"err")</f>
        <v/>
      </c>
    </row>
    <row r="8">
      <c r="B8" s="71">
        <f>wacc_per_mgmt+(-2)*sens_wacc_step</f>
        <v/>
      </c>
      <c r="C8" s="40">
        <f>IFERROR(Projections!D71/(1+$B$8)^1+Projections!E71/(1+$B$8)^2+Projections!F71/(1+$B$8)^3+Projections!G71/(1+$B$8)^4+Projections!H71/(1+$B$8)^5+Projections!H71*(1+C$6)/($B$8-C$6)/(1+$B$8)^5,"err")</f>
        <v/>
      </c>
      <c r="D8" s="40">
        <f>IFERROR(Projections!D71/(1+$B$8)^1+Projections!E71/(1+$B$8)^2+Projections!F71/(1+$B$8)^3+Projections!G71/(1+$B$8)^4+Projections!H71/(1+$B$8)^5+Projections!H71*(1+D$6)/($B$8-D$6)/(1+$B$8)^5,"err")</f>
        <v/>
      </c>
      <c r="E8" s="40">
        <f>IFERROR(Projections!D71/(1+$B$8)^1+Projections!E71/(1+$B$8)^2+Projections!F71/(1+$B$8)^3+Projections!G71/(1+$B$8)^4+Projections!H71/(1+$B$8)^5+Projections!H71*(1+E$6)/($B$8-E$6)/(1+$B$8)^5,"err")</f>
        <v/>
      </c>
      <c r="F8" s="40">
        <f>IFERROR(Projections!D71/(1+$B$8)^1+Projections!E71/(1+$B$8)^2+Projections!F71/(1+$B$8)^3+Projections!G71/(1+$B$8)^4+Projections!H71/(1+$B$8)^5+Projections!H71*(1+F$6)/($B$8-F$6)/(1+$B$8)^5,"err")</f>
        <v/>
      </c>
      <c r="G8" s="40">
        <f>IFERROR(Projections!D71/(1+$B$8)^1+Projections!E71/(1+$B$8)^2+Projections!F71/(1+$B$8)^3+Projections!G71/(1+$B$8)^4+Projections!H71/(1+$B$8)^5+Projections!H71*(1+G$6)/($B$8-G$6)/(1+$B$8)^5,"err")</f>
        <v/>
      </c>
      <c r="H8" s="40">
        <f>IFERROR(Projections!D71/(1+$B$8)^1+Projections!E71/(1+$B$8)^2+Projections!F71/(1+$B$8)^3+Projections!G71/(1+$B$8)^4+Projections!H71/(1+$B$8)^5+Projections!H71*(1+H$6)/($B$8-H$6)/(1+$B$8)^5,"err")</f>
        <v/>
      </c>
      <c r="I8" s="40">
        <f>IFERROR(Projections!D71/(1+$B$8)^1+Projections!E71/(1+$B$8)^2+Projections!F71/(1+$B$8)^3+Projections!G71/(1+$B$8)^4+Projections!H71/(1+$B$8)^5+Projections!H71*(1+I$6)/($B$8-I$6)/(1+$B$8)^5,"err")</f>
        <v/>
      </c>
    </row>
    <row r="9">
      <c r="B9" s="71">
        <f>wacc_per_mgmt+(-1)*sens_wacc_step</f>
        <v/>
      </c>
      <c r="C9" s="40">
        <f>IFERROR(Projections!D71/(1+$B$9)^1+Projections!E71/(1+$B$9)^2+Projections!F71/(1+$B$9)^3+Projections!G71/(1+$B$9)^4+Projections!H71/(1+$B$9)^5+Projections!H71*(1+C$6)/($B$9-C$6)/(1+$B$9)^5,"err")</f>
        <v/>
      </c>
      <c r="D9" s="40">
        <f>IFERROR(Projections!D71/(1+$B$9)^1+Projections!E71/(1+$B$9)^2+Projections!F71/(1+$B$9)^3+Projections!G71/(1+$B$9)^4+Projections!H71/(1+$B$9)^5+Projections!H71*(1+D$6)/($B$9-D$6)/(1+$B$9)^5,"err")</f>
        <v/>
      </c>
      <c r="E9" s="40">
        <f>IFERROR(Projections!D71/(1+$B$9)^1+Projections!E71/(1+$B$9)^2+Projections!F71/(1+$B$9)^3+Projections!G71/(1+$B$9)^4+Projections!H71/(1+$B$9)^5+Projections!H71*(1+E$6)/($B$9-E$6)/(1+$B$9)^5,"err")</f>
        <v/>
      </c>
      <c r="F9" s="40">
        <f>IFERROR(Projections!D71/(1+$B$9)^1+Projections!E71/(1+$B$9)^2+Projections!F71/(1+$B$9)^3+Projections!G71/(1+$B$9)^4+Projections!H71/(1+$B$9)^5+Projections!H71*(1+F$6)/($B$9-F$6)/(1+$B$9)^5,"err")</f>
        <v/>
      </c>
      <c r="G9" s="40">
        <f>IFERROR(Projections!D71/(1+$B$9)^1+Projections!E71/(1+$B$9)^2+Projections!F71/(1+$B$9)^3+Projections!G71/(1+$B$9)^4+Projections!H71/(1+$B$9)^5+Projections!H71*(1+G$6)/($B$9-G$6)/(1+$B$9)^5,"err")</f>
        <v/>
      </c>
      <c r="H9" s="40">
        <f>IFERROR(Projections!D71/(1+$B$9)^1+Projections!E71/(1+$B$9)^2+Projections!F71/(1+$B$9)^3+Projections!G71/(1+$B$9)^4+Projections!H71/(1+$B$9)^5+Projections!H71*(1+H$6)/($B$9-H$6)/(1+$B$9)^5,"err")</f>
        <v/>
      </c>
      <c r="I9" s="40">
        <f>IFERROR(Projections!D71/(1+$B$9)^1+Projections!E71/(1+$B$9)^2+Projections!F71/(1+$B$9)^3+Projections!G71/(1+$B$9)^4+Projections!H71/(1+$B$9)^5+Projections!H71*(1+I$6)/($B$9-I$6)/(1+$B$9)^5,"err")</f>
        <v/>
      </c>
    </row>
    <row r="10">
      <c r="B10" s="71">
        <f>wacc_per_mgmt+(0)*sens_wacc_step</f>
        <v/>
      </c>
      <c r="C10" s="40">
        <f>IFERROR(Projections!D71/(1+$B$10)^1+Projections!E71/(1+$B$10)^2+Projections!F71/(1+$B$10)^3+Projections!G71/(1+$B$10)^4+Projections!H71/(1+$B$10)^5+Projections!H71*(1+C$6)/($B$10-C$6)/(1+$B$10)^5,"err")</f>
        <v/>
      </c>
      <c r="D10" s="40">
        <f>IFERROR(Projections!D71/(1+$B$10)^1+Projections!E71/(1+$B$10)^2+Projections!F71/(1+$B$10)^3+Projections!G71/(1+$B$10)^4+Projections!H71/(1+$B$10)^5+Projections!H71*(1+D$6)/($B$10-D$6)/(1+$B$10)^5,"err")</f>
        <v/>
      </c>
      <c r="E10" s="40">
        <f>IFERROR(Projections!D71/(1+$B$10)^1+Projections!E71/(1+$B$10)^2+Projections!F71/(1+$B$10)^3+Projections!G71/(1+$B$10)^4+Projections!H71/(1+$B$10)^5+Projections!H71*(1+E$6)/($B$10-E$6)/(1+$B$10)^5,"err")</f>
        <v/>
      </c>
      <c r="F10" s="72">
        <f>IFERROR(Projections!D71/(1+$B$10)^1+Projections!E71/(1+$B$10)^2+Projections!F71/(1+$B$10)^3+Projections!G71/(1+$B$10)^4+Projections!H71/(1+$B$10)^5+Projections!H71*(1+F$6)/($B$10-F$6)/(1+$B$10)^5,"err")</f>
        <v/>
      </c>
      <c r="G10" s="40">
        <f>IFERROR(Projections!D71/(1+$B$10)^1+Projections!E71/(1+$B$10)^2+Projections!F71/(1+$B$10)^3+Projections!G71/(1+$B$10)^4+Projections!H71/(1+$B$10)^5+Projections!H71*(1+G$6)/($B$10-G$6)/(1+$B$10)^5,"err")</f>
        <v/>
      </c>
      <c r="H10" s="40">
        <f>IFERROR(Projections!D71/(1+$B$10)^1+Projections!E71/(1+$B$10)^2+Projections!F71/(1+$B$10)^3+Projections!G71/(1+$B$10)^4+Projections!H71/(1+$B$10)^5+Projections!H71*(1+H$6)/($B$10-H$6)/(1+$B$10)^5,"err")</f>
        <v/>
      </c>
      <c r="I10" s="40">
        <f>IFERROR(Projections!D71/(1+$B$10)^1+Projections!E71/(1+$B$10)^2+Projections!F71/(1+$B$10)^3+Projections!G71/(1+$B$10)^4+Projections!H71/(1+$B$10)^5+Projections!H71*(1+I$6)/($B$10-I$6)/(1+$B$10)^5,"err")</f>
        <v/>
      </c>
    </row>
    <row r="11">
      <c r="B11" s="71">
        <f>wacc_per_mgmt+(1)*sens_wacc_step</f>
        <v/>
      </c>
      <c r="C11" s="40">
        <f>IFERROR(Projections!D71/(1+$B$11)^1+Projections!E71/(1+$B$11)^2+Projections!F71/(1+$B$11)^3+Projections!G71/(1+$B$11)^4+Projections!H71/(1+$B$11)^5+Projections!H71*(1+C$6)/($B$11-C$6)/(1+$B$11)^5,"err")</f>
        <v/>
      </c>
      <c r="D11" s="40">
        <f>IFERROR(Projections!D71/(1+$B$11)^1+Projections!E71/(1+$B$11)^2+Projections!F71/(1+$B$11)^3+Projections!G71/(1+$B$11)^4+Projections!H71/(1+$B$11)^5+Projections!H71*(1+D$6)/($B$11-D$6)/(1+$B$11)^5,"err")</f>
        <v/>
      </c>
      <c r="E11" s="40">
        <f>IFERROR(Projections!D71/(1+$B$11)^1+Projections!E71/(1+$B$11)^2+Projections!F71/(1+$B$11)^3+Projections!G71/(1+$B$11)^4+Projections!H71/(1+$B$11)^5+Projections!H71*(1+E$6)/($B$11-E$6)/(1+$B$11)^5,"err")</f>
        <v/>
      </c>
      <c r="F11" s="40">
        <f>IFERROR(Projections!D71/(1+$B$11)^1+Projections!E71/(1+$B$11)^2+Projections!F71/(1+$B$11)^3+Projections!G71/(1+$B$11)^4+Projections!H71/(1+$B$11)^5+Projections!H71*(1+F$6)/($B$11-F$6)/(1+$B$11)^5,"err")</f>
        <v/>
      </c>
      <c r="G11" s="40">
        <f>IFERROR(Projections!D71/(1+$B$11)^1+Projections!E71/(1+$B$11)^2+Projections!F71/(1+$B$11)^3+Projections!G71/(1+$B$11)^4+Projections!H71/(1+$B$11)^5+Projections!H71*(1+G$6)/($B$11-G$6)/(1+$B$11)^5,"err")</f>
        <v/>
      </c>
      <c r="H11" s="40">
        <f>IFERROR(Projections!D71/(1+$B$11)^1+Projections!E71/(1+$B$11)^2+Projections!F71/(1+$B$11)^3+Projections!G71/(1+$B$11)^4+Projections!H71/(1+$B$11)^5+Projections!H71*(1+H$6)/($B$11-H$6)/(1+$B$11)^5,"err")</f>
        <v/>
      </c>
      <c r="I11" s="40">
        <f>IFERROR(Projections!D71/(1+$B$11)^1+Projections!E71/(1+$B$11)^2+Projections!F71/(1+$B$11)^3+Projections!G71/(1+$B$11)^4+Projections!H71/(1+$B$11)^5+Projections!H71*(1+I$6)/($B$11-I$6)/(1+$B$11)^5,"err")</f>
        <v/>
      </c>
    </row>
    <row r="12">
      <c r="B12" s="71">
        <f>wacc_per_mgmt+(2)*sens_wacc_step</f>
        <v/>
      </c>
      <c r="C12" s="40">
        <f>IFERROR(Projections!D71/(1+$B$12)^1+Projections!E71/(1+$B$12)^2+Projections!F71/(1+$B$12)^3+Projections!G71/(1+$B$12)^4+Projections!H71/(1+$B$12)^5+Projections!H71*(1+C$6)/($B$12-C$6)/(1+$B$12)^5,"err")</f>
        <v/>
      </c>
      <c r="D12" s="40">
        <f>IFERROR(Projections!D71/(1+$B$12)^1+Projections!E71/(1+$B$12)^2+Projections!F71/(1+$B$12)^3+Projections!G71/(1+$B$12)^4+Projections!H71/(1+$B$12)^5+Projections!H71*(1+D$6)/($B$12-D$6)/(1+$B$12)^5,"err")</f>
        <v/>
      </c>
      <c r="E12" s="40">
        <f>IFERROR(Projections!D71/(1+$B$12)^1+Projections!E71/(1+$B$12)^2+Projections!F71/(1+$B$12)^3+Projections!G71/(1+$B$12)^4+Projections!H71/(1+$B$12)^5+Projections!H71*(1+E$6)/($B$12-E$6)/(1+$B$12)^5,"err")</f>
        <v/>
      </c>
      <c r="F12" s="40">
        <f>IFERROR(Projections!D71/(1+$B$12)^1+Projections!E71/(1+$B$12)^2+Projections!F71/(1+$B$12)^3+Projections!G71/(1+$B$12)^4+Projections!H71/(1+$B$12)^5+Projections!H71*(1+F$6)/($B$12-F$6)/(1+$B$12)^5,"err")</f>
        <v/>
      </c>
      <c r="G12" s="40">
        <f>IFERROR(Projections!D71/(1+$B$12)^1+Projections!E71/(1+$B$12)^2+Projections!F71/(1+$B$12)^3+Projections!G71/(1+$B$12)^4+Projections!H71/(1+$B$12)^5+Projections!H71*(1+G$6)/($B$12-G$6)/(1+$B$12)^5,"err")</f>
        <v/>
      </c>
      <c r="H12" s="40">
        <f>IFERROR(Projections!D71/(1+$B$12)^1+Projections!E71/(1+$B$12)^2+Projections!F71/(1+$B$12)^3+Projections!G71/(1+$B$12)^4+Projections!H71/(1+$B$12)^5+Projections!H71*(1+H$6)/($B$12-H$6)/(1+$B$12)^5,"err")</f>
        <v/>
      </c>
      <c r="I12" s="40">
        <f>IFERROR(Projections!D71/(1+$B$12)^1+Projections!E71/(1+$B$12)^2+Projections!F71/(1+$B$12)^3+Projections!G71/(1+$B$12)^4+Projections!H71/(1+$B$12)^5+Projections!H71*(1+I$6)/($B$12-I$6)/(1+$B$12)^5,"err")</f>
        <v/>
      </c>
    </row>
    <row r="13">
      <c r="B13" s="71">
        <f>wacc_per_mgmt+(3)*sens_wacc_step</f>
        <v/>
      </c>
      <c r="C13" s="40">
        <f>IFERROR(Projections!D71/(1+$B$13)^1+Projections!E71/(1+$B$13)^2+Projections!F71/(1+$B$13)^3+Projections!G71/(1+$B$13)^4+Projections!H71/(1+$B$13)^5+Projections!H71*(1+C$6)/($B$13-C$6)/(1+$B$13)^5,"err")</f>
        <v/>
      </c>
      <c r="D13" s="40">
        <f>IFERROR(Projections!D71/(1+$B$13)^1+Projections!E71/(1+$B$13)^2+Projections!F71/(1+$B$13)^3+Projections!G71/(1+$B$13)^4+Projections!H71/(1+$B$13)^5+Projections!H71*(1+D$6)/($B$13-D$6)/(1+$B$13)^5,"err")</f>
        <v/>
      </c>
      <c r="E13" s="40">
        <f>IFERROR(Projections!D71/(1+$B$13)^1+Projections!E71/(1+$B$13)^2+Projections!F71/(1+$B$13)^3+Projections!G71/(1+$B$13)^4+Projections!H71/(1+$B$13)^5+Projections!H71*(1+E$6)/($B$13-E$6)/(1+$B$13)^5,"err")</f>
        <v/>
      </c>
      <c r="F13" s="40">
        <f>IFERROR(Projections!D71/(1+$B$13)^1+Projections!E71/(1+$B$13)^2+Projections!F71/(1+$B$13)^3+Projections!G71/(1+$B$13)^4+Projections!H71/(1+$B$13)^5+Projections!H71*(1+F$6)/($B$13-F$6)/(1+$B$13)^5,"err")</f>
        <v/>
      </c>
      <c r="G13" s="40">
        <f>IFERROR(Projections!D71/(1+$B$13)^1+Projections!E71/(1+$B$13)^2+Projections!F71/(1+$B$13)^3+Projections!G71/(1+$B$13)^4+Projections!H71/(1+$B$13)^5+Projections!H71*(1+G$6)/($B$13-G$6)/(1+$B$13)^5,"err")</f>
        <v/>
      </c>
      <c r="H13" s="40">
        <f>IFERROR(Projections!D71/(1+$B$13)^1+Projections!E71/(1+$B$13)^2+Projections!F71/(1+$B$13)^3+Projections!G71/(1+$B$13)^4+Projections!H71/(1+$B$13)^5+Projections!H71*(1+H$6)/($B$13-H$6)/(1+$B$13)^5,"err")</f>
        <v/>
      </c>
      <c r="I13" s="40">
        <f>IFERROR(Projections!D71/(1+$B$13)^1+Projections!E71/(1+$B$13)^2+Projections!F71/(1+$B$13)^3+Projections!G71/(1+$B$13)^4+Projections!H71/(1+$B$13)^5+Projections!H71*(1+I$6)/($B$13-I$6)/(1+$B$13)^5,"err")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5" t="inlineStr">
        <is>
          <t>Fair value of client's interest</t>
        </is>
      </c>
      <c r="B11" s="2" t="inlineStr">
        <is>
          <t>(currency × unit)</t>
        </is>
      </c>
      <c r="C11" s="53">
        <f>Adjustments!C24</f>
        <v/>
      </c>
      <c r="D11" s="53">
        <f>Adjustments!D24</f>
        <v/>
      </c>
      <c r="E11" s="53">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5" t="inlineStr">
        <is>
          <t>Equity value per share (basic)</t>
        </is>
      </c>
      <c r="B16" s="2" t="inlineStr">
        <is>
          <t>actual currency</t>
        </is>
      </c>
      <c r="C16" s="73">
        <f>IFERROR(Adjustments!C20*C14/C15,0)</f>
        <v/>
      </c>
      <c r="D16" s="73">
        <f>IFERROR(Adjustments!D20*D14/D15,0)</f>
        <v/>
      </c>
      <c r="E16" s="73">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4">
        <f>IFERROR(Adjustments!C20*C14/C17,0)</f>
        <v/>
      </c>
      <c r="D18" s="74">
        <f>IFERROR(Adjustments!D20*D14/D17,0)</f>
        <v/>
      </c>
      <c r="E18" s="74">
        <f>AVERAGE(C18:D18)</f>
        <v/>
      </c>
    </row>
    <row r="20">
      <c r="A20" s="3" t="inlineStr">
        <is>
          <t>Discount rate inputs (reference)</t>
        </is>
      </c>
    </row>
    <row r="21">
      <c r="A21" s="4" t="inlineStr">
        <is>
          <t>WACC</t>
        </is>
      </c>
      <c r="B21" s="2" t="inlineStr">
        <is>
          <t>%</t>
        </is>
      </c>
      <c r="C21" s="57">
        <f>wacc_per_mgmt</f>
        <v/>
      </c>
      <c r="D21" s="57">
        <f>wacc_indep</f>
        <v/>
      </c>
      <c r="E21" s="57" t="n"/>
    </row>
    <row r="22">
      <c r="A22" s="4" t="inlineStr">
        <is>
          <t>Terminal growth rate</t>
        </is>
      </c>
      <c r="B22" s="2" t="inlineStr">
        <is>
          <t>%</t>
        </is>
      </c>
      <c r="C22" s="57">
        <f>terminal_growth_rate</f>
        <v/>
      </c>
      <c r="D22" s="57">
        <f>terminal_growth_rate</f>
        <v/>
      </c>
      <c r="E22" s="57"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5" t="inlineStr">
        <is>
          <t>report_purpose</t>
        </is>
      </c>
      <c r="B1" s="75" t="inlineStr">
        <is>
          <t>accounting_standard</t>
        </is>
      </c>
      <c r="C1" s="75" t="inlineStr">
        <is>
          <t>tax_type</t>
        </is>
      </c>
      <c r="D1" s="75" t="inlineStr">
        <is>
          <t>terminal_method</t>
        </is>
      </c>
      <c r="E1" s="75" t="inlineStr">
        <is>
          <t>currency</t>
        </is>
      </c>
      <c r="F1" s="75" t="inlineStr">
        <is>
          <t>unit</t>
        </is>
      </c>
      <c r="G1" s="75" t="inlineStr">
        <is>
          <t>coco_tier</t>
        </is>
      </c>
      <c r="H1" s="75"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2026-08-21T07:57:24Z</dcterms:created>
  <dcterms:modified xmlns:dcterms="http://purl.org/dc/terms/" xmlns:xsi="http://www.w3.org/2001/XMLSchema-instance" xsi:type="dcterms:W3CDTF">2026-08-21T07:57:24Z</dcterms:modified>
</cp:coreProperties>
</file>