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Historical FS" sheetId="4" state="visible" r:id="rId4"/>
    <sheet xmlns:r="http://schemas.openxmlformats.org/officeDocument/2006/relationships" name="Projections" sheetId="5" state="visible" r:id="rId5"/>
    <sheet xmlns:r="http://schemas.openxmlformats.org/officeDocument/2006/relationships" name="DCF" sheetId="6" state="visible" r:id="rId6"/>
    <sheet xmlns:r="http://schemas.openxmlformats.org/officeDocument/2006/relationships" name="DCF (Independent)" sheetId="7" state="visible" r:id="rId7"/>
    <sheet xmlns:r="http://schemas.openxmlformats.org/officeDocument/2006/relationships" name="Comps" sheetId="8" state="visible" r:id="rId8"/>
    <sheet xmlns:r="http://schemas.openxmlformats.org/officeDocument/2006/relationships" name="Football Field" sheetId="9" state="visible" r:id="rId9"/>
    <sheet xmlns:r="http://schemas.openxmlformats.org/officeDocument/2006/relationships" name="WACC" sheetId="10" state="visible" r:id="rId10"/>
    <sheet xmlns:r="http://schemas.openxmlformats.org/officeDocument/2006/relationships" name="CoCo Selection" sheetId="11" state="visible" r:id="rId11"/>
    <sheet xmlns:r="http://schemas.openxmlformats.org/officeDocument/2006/relationships" name="CoCo Multiples" sheetId="12" state="visible" r:id="rId12"/>
    <sheet xmlns:r="http://schemas.openxmlformats.org/officeDocument/2006/relationships" name="CoCo Margins" sheetId="13" state="visible" r:id="rId13"/>
    <sheet xmlns:r="http://schemas.openxmlformats.org/officeDocument/2006/relationships" name="CoCo Ratios" sheetId="14" state="visible" r:id="rId14"/>
    <sheet xmlns:r="http://schemas.openxmlformats.org/officeDocument/2006/relationships" name="CIQ Data Timeline" sheetId="15" state="visible" r:id="rId15"/>
    <sheet xmlns:r="http://schemas.openxmlformats.org/officeDocument/2006/relationships" name="Country ERP" sheetId="16" state="visible" r:id="rId16"/>
    <sheet xmlns:r="http://schemas.openxmlformats.org/officeDocument/2006/relationships" name="Industry Averages" sheetId="17" state="visible" r:id="rId17"/>
    <sheet xmlns:r="http://schemas.openxmlformats.org/officeDocument/2006/relationships" name="Adjustments" sheetId="18" state="visible" r:id="rId18"/>
    <sheet xmlns:r="http://schemas.openxmlformats.org/officeDocument/2006/relationships" name="Sensitivity" sheetId="19" state="visible" r:id="rId19"/>
    <sheet xmlns:r="http://schemas.openxmlformats.org/officeDocument/2006/relationships" name="Valuation Summary" sheetId="20" state="visible" r:id="rId20"/>
    <sheet xmlns:r="http://schemas.openxmlformats.org/officeDocument/2006/relationships"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gross_profit_y0">'Inputs'!$D$38</definedName>
    <definedName name="opex_y0">'Inputs'!$D$39</definedName>
    <definedName name="ebitda_y0">'Inputs'!$D$40</definedName>
    <definedName name="ebit_y0">'Inputs'!$D$41</definedName>
    <definedName name="tax_y0">'Inputs'!$D$42</definedName>
    <definedName name="net_income_y0">'Inputs'!$D$43</definedName>
    <definedName name="revenue_growth_y1">'Inputs'!$D$44</definedName>
    <definedName name="revenue_growth_y2">'Inputs'!$D$45</definedName>
    <definedName name="revenue_growth_y3">'Inputs'!$D$46</definedName>
    <definedName name="revenue_growth_y4">'Inputs'!$D$47</definedName>
    <definedName name="revenue_growth_y5">'Inputs'!$D$48</definedName>
    <definedName name="revenue_growth_primary_y1">'Inputs'!$D$49</definedName>
    <definedName name="revenue_growth_primary_y2">'Inputs'!$D$50</definedName>
    <definedName name="revenue_growth_primary_y3">'Inputs'!$D$51</definedName>
    <definedName name="revenue_growth_primary_y4">'Inputs'!$D$52</definedName>
    <definedName name="revenue_growth_primary_y5">'Inputs'!$D$53</definedName>
    <definedName name="gross_margin_y1">'Inputs'!$D$54</definedName>
    <definedName name="gross_margin_y2">'Inputs'!$D$55</definedName>
    <definedName name="gross_margin_y3">'Inputs'!$D$56</definedName>
    <definedName name="gross_margin_y4">'Inputs'!$D$57</definedName>
    <definedName name="gross_margin_y5">'Inputs'!$D$58</definedName>
    <definedName name="opex_pct_revenue_y1">'Inputs'!$D$59</definedName>
    <definedName name="opex_pct_revenue_y2">'Inputs'!$D$60</definedName>
    <definedName name="opex_pct_revenue_y3">'Inputs'!$D$61</definedName>
    <definedName name="opex_pct_revenue_y4">'Inputs'!$D$62</definedName>
    <definedName name="opex_pct_revenue_y5">'Inputs'!$D$63</definedName>
    <definedName name="capex_pct_revenue_y1">'Inputs'!$D$64</definedName>
    <definedName name="capex_pct_revenue_y2">'Inputs'!$D$65</definedName>
    <definedName name="capex_pct_revenue_y3">'Inputs'!$D$66</definedName>
    <definedName name="capex_pct_revenue_y4">'Inputs'!$D$67</definedName>
    <definedName name="capex_pct_revenue_y5">'Inputs'!$D$68</definedName>
    <definedName name="dep_pct_revenue_y1">'Inputs'!$D$69</definedName>
    <definedName name="dep_pct_revenue_y2">'Inputs'!$D$70</definedName>
    <definedName name="dep_pct_revenue_y3">'Inputs'!$D$71</definedName>
    <definedName name="dep_pct_revenue_y4">'Inputs'!$D$72</definedName>
    <definedName name="dep_pct_revenue_y5">'Inputs'!$D$73</definedName>
    <definedName name="nwc_pct_sales_y1">'Inputs'!$D$74</definedName>
    <definedName name="nwc_pct_sales_y2">'Inputs'!$D$75</definedName>
    <definedName name="nwc_pct_sales_y3">'Inputs'!$D$76</definedName>
    <definedName name="nwc_pct_sales_y4">'Inputs'!$D$77</definedName>
    <definedName name="nwc_pct_sales_y5">'Inputs'!$D$78</definedName>
    <definedName name="terminal_method">'Inputs'!$D$81</definedName>
    <definedName name="terminal_growth_rate">'Inputs'!$D$82</definedName>
    <definedName name="terminal_exit_multiple_type">'Inputs'!$D$83</definedName>
    <definedName name="terminal_exit_multiple_value">'Inputs'!$D$84</definedName>
    <definedName name="terminal_nominal_gdp_growth">'Inputs'!$D$85</definedName>
    <definedName name="risk_free_rate">'Inputs'!$D$88</definedName>
    <definedName name="risk_free_rate_source">'Inputs'!$D$89</definedName>
    <definedName name="equity_risk_premium">'Inputs'!$D$90</definedName>
    <definedName name="country_risk_premium">'Inputs'!$D$91</definedName>
    <definedName name="unlevered_beta_per_mgmt">'Inputs'!$D$92</definedName>
    <definedName name="unlevered_beta_indep">'Inputs'!$E$92</definedName>
    <definedName name="target_debt_to_equity_per_mgmt">'Inputs'!$D$93</definedName>
    <definedName name="target_debt_to_equity_indep">'Inputs'!$E$93</definedName>
    <definedName name="levered_beta_per_mgmt">'Inputs'!$D$94</definedName>
    <definedName name="levered_beta_indep">'Inputs'!$E$94</definedName>
    <definedName name="size_premium_per_mgmt">'Inputs'!$D$95</definedName>
    <definedName name="size_premium_indep">'Inputs'!$E$95</definedName>
    <definedName name="specific_risk_premium_per_mgmt">'Inputs'!$D$96</definedName>
    <definedName name="specific_risk_premium_indep">'Inputs'!$E$96</definedName>
    <definedName name="cost_of_equity_per_mgmt">'Inputs'!$D$97</definedName>
    <definedName name="cost_of_equity_indep">'Inputs'!$E$97</definedName>
    <definedName name="pretax_cost_of_debt_per_mgmt">'Inputs'!$D$98</definedName>
    <definedName name="pretax_cost_of_debt_indep">'Inputs'!$E$98</definedName>
    <definedName name="aftertax_cost_of_debt_per_mgmt">'Inputs'!$D$99</definedName>
    <definedName name="aftertax_cost_of_debt_indep">'Inputs'!$E$99</definedName>
    <definedName name="target_debt_weight_per_mgmt">'Inputs'!$D$100</definedName>
    <definedName name="target_debt_weight_indep">'Inputs'!$E$100</definedName>
    <definedName name="target_equity_weight_per_mgmt">'Inputs'!$D$101</definedName>
    <definedName name="target_equity_weight_indep">'Inputs'!$E$101</definedName>
    <definedName name="wacc_per_mgmt">'Inputs'!$D$102</definedName>
    <definedName name="wacc_indep">'Inputs'!$E$102</definedName>
    <definedName name="surplus_assets">'Inputs'!$D$105</definedName>
    <definedName name="net_debt_override">'Inputs'!$D$106</definedName>
    <definedName name="minority_interests">'Inputs'!$D$107</definedName>
    <definedName name="non_operating_assets">'Inputs'!$D$108</definedName>
    <definedName name="dlom_pct">'Inputs'!$D$109</definedName>
    <definedName name="dloc_pct">'Inputs'!$D$110</definedName>
    <definedName name="equity_interest_pct">'Inputs'!$D$111</definedName>
    <definedName name="shares_outstanding">'Inputs'!$D$112</definedName>
    <definedName name="shares_outstanding_diluted">'Inputs'!$D$113</definedName>
    <definedName name="pre_money_pct">'Inputs'!$D$114</definedName>
    <definedName name="capitalize_rd">'Inputs'!$D$117</definedName>
    <definedName name="rd_amortization_years">'Inputs'!$D$118</definedName>
    <definedName name="convert_operating_leases">'Inputs'!$D$119</definedName>
    <definedName name="lease_discount_rate">'Inputs'!$D$120</definedName>
    <definedName name="weight_dcf">'Inputs'!$D$123</definedName>
    <definedName name="weight_comps">'Inputs'!$D$124</definedName>
    <definedName name="weight_precedent">'Inputs'!$D$125</definedName>
    <definedName name="weight_nav">'Inputs'!$D$126</definedName>
    <definedName name="selected_low">'Inputs'!$D$127</definedName>
    <definedName name="selected_mid">'Inputs'!$D$128</definedName>
    <definedName name="selected_high">'Inputs'!$D$129</definedName>
    <definedName name="sens_wacc_step">'Inputs'!$D$132</definedName>
    <definedName name="sens_wacc_count">'Inputs'!$D$133</definedName>
    <definedName name="sens_terminal_g_step">'Inputs'!$D$134</definedName>
    <definedName name="sens_terminal_g_count">'Inputs'!$D$135</definedName>
    <definedName name="sens_revenue_g_step">'Inputs'!$D$136</definedName>
    <definedName name="sens_ebitda_margin_step">'Inputs'!$D$137</definedName>
    <definedName name="cocos_table">'Inputs'!$A$141:$L$170</definedName>
    <definedName name="precedents_table">'Inputs'!$A$174:$I$188</definedName>
    <definedName name="segments_table">'Inputs'!$A$193:$U$197</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3" fontId="4"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0" fontId="1" fillId="2"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Cross-check vs DCF (±10% band).</t>
        </is>
      </c>
    </row>
    <row r="15">
      <c r="B15" s="22" t="inlineStr">
        <is>
          <t>Precedent Transactions</t>
        </is>
      </c>
      <c r="C15" s="18">
        <f>'Football Field'!C12</f>
        <v/>
      </c>
      <c r="D15" s="18">
        <f>'Football Field'!D12</f>
        <v/>
      </c>
      <c r="E15" s="18">
        <f>'Football Field'!E12</f>
        <v/>
      </c>
      <c r="F15" s="23">
        <f>weight_precedent</f>
        <v/>
      </c>
      <c r="G15" s="18">
        <f>'Football Field'!F12</f>
        <v/>
      </c>
      <c r="H15" s="22" t="inlineStr">
        <is>
          <t>Cross-check vs DCF (±10% band).</t>
        </is>
      </c>
    </row>
    <row r="17">
      <c r="B17" s="5" t="inlineStr">
        <is>
          <t>Concluded EV (DCF primary)</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97"/>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gross_profit_y0</t>
        </is>
      </c>
      <c r="B38" s="4" t="inlineStr">
        <is>
          <t>Gross profit (Y0)</t>
        </is>
      </c>
      <c r="C38" s="2" t="inlineStr">
        <is>
          <t>currency</t>
        </is>
      </c>
      <c r="D38" s="32" t="n"/>
      <c r="E38" s="32" t="n"/>
      <c r="F38" s="33" t="n"/>
      <c r="G38" s="33" t="n"/>
      <c r="H38" s="34" t="inlineStr">
        <is>
          <t>Audited Y0 gross profit; populates Projections!C16</t>
        </is>
      </c>
    </row>
    <row r="39">
      <c r="A39" s="31" t="inlineStr">
        <is>
          <t>opex_y0</t>
        </is>
      </c>
      <c r="B39" s="4" t="inlineStr">
        <is>
          <t>Operating expenses (Y0)</t>
        </is>
      </c>
      <c r="C39" s="2" t="inlineStr">
        <is>
          <t>currency</t>
        </is>
      </c>
      <c r="D39" s="32" t="n"/>
      <c r="E39" s="32" t="n"/>
      <c r="F39" s="33" t="n"/>
      <c r="G39" s="33" t="n"/>
      <c r="H39" s="34" t="inlineStr">
        <is>
          <t>Audited Y0 opex (negative); populates Projections!C18</t>
        </is>
      </c>
    </row>
    <row r="40">
      <c r="A40" s="31" t="inlineStr">
        <is>
          <t>ebitda_y0</t>
        </is>
      </c>
      <c r="B40" s="4" t="inlineStr">
        <is>
          <t>EBITDA (Y0)</t>
        </is>
      </c>
      <c r="C40" s="2" t="inlineStr">
        <is>
          <t>currency</t>
        </is>
      </c>
      <c r="D40" s="32" t="n"/>
      <c r="E40" s="32" t="n"/>
      <c r="F40" s="33" t="n"/>
      <c r="G40" s="33" t="n"/>
      <c r="H40" s="34" t="inlineStr">
        <is>
          <t>Audited Y0 EBITDA; populates Projections!C19</t>
        </is>
      </c>
    </row>
    <row r="41">
      <c r="A41" s="31" t="inlineStr">
        <is>
          <t>ebit_y0</t>
        </is>
      </c>
      <c r="B41" s="4" t="inlineStr">
        <is>
          <t>EBIT (Y0)</t>
        </is>
      </c>
      <c r="C41" s="2" t="inlineStr">
        <is>
          <t>currency</t>
        </is>
      </c>
      <c r="D41" s="32" t="n"/>
      <c r="E41" s="32" t="n"/>
      <c r="F41" s="33" t="n"/>
      <c r="G41" s="33" t="n"/>
      <c r="H41" s="34" t="inlineStr">
        <is>
          <t>Audited Y0 EBIT; populates Projections!C22</t>
        </is>
      </c>
    </row>
    <row r="42">
      <c r="A42" s="31" t="inlineStr">
        <is>
          <t>tax_y0</t>
        </is>
      </c>
      <c r="B42" s="4" t="inlineStr">
        <is>
          <t>Tax (Y0)</t>
        </is>
      </c>
      <c r="C42" s="2" t="inlineStr">
        <is>
          <t>currency</t>
        </is>
      </c>
      <c r="D42" s="32" t="n"/>
      <c r="E42" s="32" t="n"/>
      <c r="F42" s="33" t="n"/>
      <c r="G42" s="33" t="n"/>
      <c r="H42" s="34" t="inlineStr">
        <is>
          <t>Audited Y0 tax expense (negative); populates Projections!C26</t>
        </is>
      </c>
    </row>
    <row r="43">
      <c r="A43" s="31" t="inlineStr">
        <is>
          <t>net_income_y0</t>
        </is>
      </c>
      <c r="B43" s="4" t="inlineStr">
        <is>
          <t>Net income (Y0)</t>
        </is>
      </c>
      <c r="C43" s="2" t="inlineStr">
        <is>
          <t>currency</t>
        </is>
      </c>
      <c r="D43" s="32" t="n"/>
      <c r="E43" s="32" t="n"/>
      <c r="F43" s="33" t="n"/>
      <c r="G43" s="33" t="n"/>
      <c r="H43" s="34" t="inlineStr">
        <is>
          <t>Audited Y0 net income; populates Projections!C27</t>
        </is>
      </c>
    </row>
    <row r="44">
      <c r="A44" s="31" t="inlineStr">
        <is>
          <t>revenue_growth_y1</t>
        </is>
      </c>
      <c r="B44" s="4" t="inlineStr">
        <is>
          <t>Revenue growth (total) (Y1)</t>
        </is>
      </c>
      <c r="C44" s="2" t="inlineStr">
        <is>
          <t>percentage</t>
        </is>
      </c>
      <c r="D44" s="32" t="n"/>
      <c r="E44" s="32" t="n"/>
      <c r="F44" s="33" t="n"/>
      <c r="G44" s="33" t="n"/>
      <c r="H44" s="33" t="n"/>
    </row>
    <row r="45">
      <c r="A45" s="31" t="inlineStr">
        <is>
          <t>revenue_growth_y2</t>
        </is>
      </c>
      <c r="B45" s="4" t="inlineStr">
        <is>
          <t>Revenue growth (total) (Y2)</t>
        </is>
      </c>
      <c r="C45" s="2" t="inlineStr">
        <is>
          <t>percentage</t>
        </is>
      </c>
      <c r="D45" s="32" t="n"/>
      <c r="E45" s="32" t="n"/>
      <c r="F45" s="33" t="n"/>
      <c r="G45" s="33" t="n"/>
      <c r="H45" s="33" t="n"/>
    </row>
    <row r="46">
      <c r="A46" s="31" t="inlineStr">
        <is>
          <t>revenue_growth_y3</t>
        </is>
      </c>
      <c r="B46" s="4" t="inlineStr">
        <is>
          <t>Revenue growth (total) (Y3)</t>
        </is>
      </c>
      <c r="C46" s="2" t="inlineStr">
        <is>
          <t>percentage</t>
        </is>
      </c>
      <c r="D46" s="32" t="n"/>
      <c r="E46" s="32" t="n"/>
      <c r="F46" s="33" t="n"/>
      <c r="G46" s="33" t="n"/>
      <c r="H46" s="33" t="n"/>
    </row>
    <row r="47">
      <c r="A47" s="31" t="inlineStr">
        <is>
          <t>revenue_growth_y4</t>
        </is>
      </c>
      <c r="B47" s="4" t="inlineStr">
        <is>
          <t>Revenue growth (total) (Y4)</t>
        </is>
      </c>
      <c r="C47" s="2" t="inlineStr">
        <is>
          <t>percentage</t>
        </is>
      </c>
      <c r="D47" s="32" t="n"/>
      <c r="E47" s="32" t="n"/>
      <c r="F47" s="33" t="n"/>
      <c r="G47" s="33" t="n"/>
      <c r="H47" s="33" t="n"/>
    </row>
    <row r="48">
      <c r="A48" s="31" t="inlineStr">
        <is>
          <t>revenue_growth_y5</t>
        </is>
      </c>
      <c r="B48" s="4" t="inlineStr">
        <is>
          <t>Revenue growth (total) (Y5)</t>
        </is>
      </c>
      <c r="C48" s="2" t="inlineStr">
        <is>
          <t>percentage</t>
        </is>
      </c>
      <c r="D48" s="32" t="n"/>
      <c r="E48" s="32" t="n"/>
      <c r="F48" s="33" t="n"/>
      <c r="G48" s="33" t="n"/>
      <c r="H48" s="33" t="n"/>
    </row>
    <row r="49">
      <c r="A49" s="31" t="inlineStr">
        <is>
          <t>revenue_growth_primary_y1</t>
        </is>
      </c>
      <c r="B49" s="4" t="inlineStr">
        <is>
          <t>Revenue growth (primary, conservative) (Y1)</t>
        </is>
      </c>
      <c r="C49" s="2" t="inlineStr">
        <is>
          <t>percentage</t>
        </is>
      </c>
      <c r="D49" s="32" t="n"/>
      <c r="E49" s="32" t="n"/>
      <c r="F49" s="33" t="n"/>
      <c r="G49" s="33" t="n"/>
      <c r="H49" s="33" t="n"/>
    </row>
    <row r="50">
      <c r="A50" s="31" t="inlineStr">
        <is>
          <t>revenue_growth_primary_y2</t>
        </is>
      </c>
      <c r="B50" s="4" t="inlineStr">
        <is>
          <t>Revenue growth (primary, conservative) (Y2)</t>
        </is>
      </c>
      <c r="C50" s="2" t="inlineStr">
        <is>
          <t>percentage</t>
        </is>
      </c>
      <c r="D50" s="32" t="n"/>
      <c r="E50" s="32" t="n"/>
      <c r="F50" s="33" t="n"/>
      <c r="G50" s="33" t="n"/>
      <c r="H50" s="33" t="n"/>
    </row>
    <row r="51">
      <c r="A51" s="31" t="inlineStr">
        <is>
          <t>revenue_growth_primary_y3</t>
        </is>
      </c>
      <c r="B51" s="4" t="inlineStr">
        <is>
          <t>Revenue growth (primary, conservative) (Y3)</t>
        </is>
      </c>
      <c r="C51" s="2" t="inlineStr">
        <is>
          <t>percentage</t>
        </is>
      </c>
      <c r="D51" s="32" t="n"/>
      <c r="E51" s="32" t="n"/>
      <c r="F51" s="33" t="n"/>
      <c r="G51" s="33" t="n"/>
      <c r="H51" s="33" t="n"/>
    </row>
    <row r="52">
      <c r="A52" s="31" t="inlineStr">
        <is>
          <t>revenue_growth_primary_y4</t>
        </is>
      </c>
      <c r="B52" s="4" t="inlineStr">
        <is>
          <t>Revenue growth (primary, conservative) (Y4)</t>
        </is>
      </c>
      <c r="C52" s="2" t="inlineStr">
        <is>
          <t>percentage</t>
        </is>
      </c>
      <c r="D52" s="32" t="n"/>
      <c r="E52" s="32" t="n"/>
      <c r="F52" s="33" t="n"/>
      <c r="G52" s="33" t="n"/>
      <c r="H52" s="33" t="n"/>
    </row>
    <row r="53">
      <c r="A53" s="31" t="inlineStr">
        <is>
          <t>revenue_growth_primary_y5</t>
        </is>
      </c>
      <c r="B53" s="4" t="inlineStr">
        <is>
          <t>Revenue growth (primary, conservative) (Y5)</t>
        </is>
      </c>
      <c r="C53" s="2" t="inlineStr">
        <is>
          <t>percentage</t>
        </is>
      </c>
      <c r="D53" s="32" t="n"/>
      <c r="E53" s="32" t="n"/>
      <c r="F53" s="33" t="n"/>
      <c r="G53" s="33" t="n"/>
      <c r="H53" s="33" t="n"/>
    </row>
    <row r="54">
      <c r="A54" s="31" t="inlineStr">
        <is>
          <t>gross_margin_y1</t>
        </is>
      </c>
      <c r="B54" s="4" t="inlineStr">
        <is>
          <t>Gross margin (Y1)</t>
        </is>
      </c>
      <c r="C54" s="2" t="inlineStr">
        <is>
          <t>percentage</t>
        </is>
      </c>
      <c r="D54" s="32" t="n"/>
      <c r="E54" s="32" t="n"/>
      <c r="F54" s="33" t="n"/>
      <c r="G54" s="33" t="n"/>
      <c r="H54" s="33" t="n"/>
    </row>
    <row r="55">
      <c r="A55" s="31" t="inlineStr">
        <is>
          <t>gross_margin_y2</t>
        </is>
      </c>
      <c r="B55" s="4" t="inlineStr">
        <is>
          <t>Gross margin (Y2)</t>
        </is>
      </c>
      <c r="C55" s="2" t="inlineStr">
        <is>
          <t>percentage</t>
        </is>
      </c>
      <c r="D55" s="32" t="n"/>
      <c r="E55" s="32" t="n"/>
      <c r="F55" s="33" t="n"/>
      <c r="G55" s="33" t="n"/>
      <c r="H55" s="33" t="n"/>
    </row>
    <row r="56">
      <c r="A56" s="31" t="inlineStr">
        <is>
          <t>gross_margin_y3</t>
        </is>
      </c>
      <c r="B56" s="4" t="inlineStr">
        <is>
          <t>Gross margin (Y3)</t>
        </is>
      </c>
      <c r="C56" s="2" t="inlineStr">
        <is>
          <t>percentage</t>
        </is>
      </c>
      <c r="D56" s="32" t="n"/>
      <c r="E56" s="32" t="n"/>
      <c r="F56" s="33" t="n"/>
      <c r="G56" s="33" t="n"/>
      <c r="H56" s="33" t="n"/>
    </row>
    <row r="57">
      <c r="A57" s="31" t="inlineStr">
        <is>
          <t>gross_margin_y4</t>
        </is>
      </c>
      <c r="B57" s="4" t="inlineStr">
        <is>
          <t>Gross margin (Y4)</t>
        </is>
      </c>
      <c r="C57" s="2" t="inlineStr">
        <is>
          <t>percentage</t>
        </is>
      </c>
      <c r="D57" s="32" t="n"/>
      <c r="E57" s="32" t="n"/>
      <c r="F57" s="33" t="n"/>
      <c r="G57" s="33" t="n"/>
      <c r="H57" s="33" t="n"/>
    </row>
    <row r="58">
      <c r="A58" s="31" t="inlineStr">
        <is>
          <t>gross_margin_y5</t>
        </is>
      </c>
      <c r="B58" s="4" t="inlineStr">
        <is>
          <t>Gross margin (Y5)</t>
        </is>
      </c>
      <c r="C58" s="2" t="inlineStr">
        <is>
          <t>percentage</t>
        </is>
      </c>
      <c r="D58" s="32" t="n"/>
      <c r="E58" s="32" t="n"/>
      <c r="F58" s="33" t="n"/>
      <c r="G58" s="33" t="n"/>
      <c r="H58" s="33" t="n"/>
    </row>
    <row r="59">
      <c r="A59" s="31" t="inlineStr">
        <is>
          <t>opex_pct_revenue_y1</t>
        </is>
      </c>
      <c r="B59" s="4" t="inlineStr">
        <is>
          <t>Opex % of revenue (Y1)</t>
        </is>
      </c>
      <c r="C59" s="2" t="inlineStr">
        <is>
          <t>percentage</t>
        </is>
      </c>
      <c r="D59" s="32" t="n"/>
      <c r="E59" s="32" t="n"/>
      <c r="F59" s="33" t="n"/>
      <c r="G59" s="33" t="n"/>
      <c r="H59" s="33" t="n"/>
    </row>
    <row r="60">
      <c r="A60" s="31" t="inlineStr">
        <is>
          <t>opex_pct_revenue_y2</t>
        </is>
      </c>
      <c r="B60" s="4" t="inlineStr">
        <is>
          <t>Opex % of revenue (Y2)</t>
        </is>
      </c>
      <c r="C60" s="2" t="inlineStr">
        <is>
          <t>percentage</t>
        </is>
      </c>
      <c r="D60" s="32" t="n"/>
      <c r="E60" s="32" t="n"/>
      <c r="F60" s="33" t="n"/>
      <c r="G60" s="33" t="n"/>
      <c r="H60" s="33" t="n"/>
    </row>
    <row r="61">
      <c r="A61" s="31" t="inlineStr">
        <is>
          <t>opex_pct_revenue_y3</t>
        </is>
      </c>
      <c r="B61" s="4" t="inlineStr">
        <is>
          <t>Opex % of revenue (Y3)</t>
        </is>
      </c>
      <c r="C61" s="2" t="inlineStr">
        <is>
          <t>percentage</t>
        </is>
      </c>
      <c r="D61" s="32" t="n"/>
      <c r="E61" s="32" t="n"/>
      <c r="F61" s="33" t="n"/>
      <c r="G61" s="33" t="n"/>
      <c r="H61" s="33" t="n"/>
    </row>
    <row r="62">
      <c r="A62" s="31" t="inlineStr">
        <is>
          <t>opex_pct_revenue_y4</t>
        </is>
      </c>
      <c r="B62" s="4" t="inlineStr">
        <is>
          <t>Opex % of revenue (Y4)</t>
        </is>
      </c>
      <c r="C62" s="2" t="inlineStr">
        <is>
          <t>percentage</t>
        </is>
      </c>
      <c r="D62" s="32" t="n"/>
      <c r="E62" s="32" t="n"/>
      <c r="F62" s="33" t="n"/>
      <c r="G62" s="33" t="n"/>
      <c r="H62" s="33" t="n"/>
    </row>
    <row r="63">
      <c r="A63" s="31" t="inlineStr">
        <is>
          <t>opex_pct_revenue_y5</t>
        </is>
      </c>
      <c r="B63" s="4" t="inlineStr">
        <is>
          <t>Opex % of revenue (Y5)</t>
        </is>
      </c>
      <c r="C63" s="2" t="inlineStr">
        <is>
          <t>percentage</t>
        </is>
      </c>
      <c r="D63" s="32" t="n"/>
      <c r="E63" s="32" t="n"/>
      <c r="F63" s="33" t="n"/>
      <c r="G63" s="33" t="n"/>
      <c r="H63" s="33" t="n"/>
    </row>
    <row r="64">
      <c r="A64" s="31" t="inlineStr">
        <is>
          <t>capex_pct_revenue_y1</t>
        </is>
      </c>
      <c r="B64" s="4" t="inlineStr">
        <is>
          <t>Capex % of revenue (Y1)</t>
        </is>
      </c>
      <c r="C64" s="2" t="inlineStr">
        <is>
          <t>percentage</t>
        </is>
      </c>
      <c r="D64" s="32" t="n"/>
      <c r="E64" s="32" t="n"/>
      <c r="F64" s="33" t="n"/>
      <c r="G64" s="33" t="n"/>
      <c r="H64" s="33" t="n"/>
    </row>
    <row r="65">
      <c r="A65" s="31" t="inlineStr">
        <is>
          <t>capex_pct_revenue_y2</t>
        </is>
      </c>
      <c r="B65" s="4" t="inlineStr">
        <is>
          <t>Capex % of revenue (Y2)</t>
        </is>
      </c>
      <c r="C65" s="2" t="inlineStr">
        <is>
          <t>percentage</t>
        </is>
      </c>
      <c r="D65" s="32" t="n"/>
      <c r="E65" s="32" t="n"/>
      <c r="F65" s="33" t="n"/>
      <c r="G65" s="33" t="n"/>
      <c r="H65" s="33" t="n"/>
    </row>
    <row r="66">
      <c r="A66" s="31" t="inlineStr">
        <is>
          <t>capex_pct_revenue_y3</t>
        </is>
      </c>
      <c r="B66" s="4" t="inlineStr">
        <is>
          <t>Capex % of revenue (Y3)</t>
        </is>
      </c>
      <c r="C66" s="2" t="inlineStr">
        <is>
          <t>percentage</t>
        </is>
      </c>
      <c r="D66" s="32" t="n"/>
      <c r="E66" s="32" t="n"/>
      <c r="F66" s="33" t="n"/>
      <c r="G66" s="33" t="n"/>
      <c r="H66" s="33" t="n"/>
    </row>
    <row r="67">
      <c r="A67" s="31" t="inlineStr">
        <is>
          <t>capex_pct_revenue_y4</t>
        </is>
      </c>
      <c r="B67" s="4" t="inlineStr">
        <is>
          <t>Capex % of revenue (Y4)</t>
        </is>
      </c>
      <c r="C67" s="2" t="inlineStr">
        <is>
          <t>percentage</t>
        </is>
      </c>
      <c r="D67" s="32" t="n"/>
      <c r="E67" s="32" t="n"/>
      <c r="F67" s="33" t="n"/>
      <c r="G67" s="33" t="n"/>
      <c r="H67" s="33" t="n"/>
    </row>
    <row r="68">
      <c r="A68" s="31" t="inlineStr">
        <is>
          <t>capex_pct_revenue_y5</t>
        </is>
      </c>
      <c r="B68" s="4" t="inlineStr">
        <is>
          <t>Capex % of revenue (Y5)</t>
        </is>
      </c>
      <c r="C68" s="2" t="inlineStr">
        <is>
          <t>percentage</t>
        </is>
      </c>
      <c r="D68" s="32" t="n"/>
      <c r="E68" s="32" t="n"/>
      <c r="F68" s="33" t="n"/>
      <c r="G68" s="33" t="n"/>
      <c r="H68" s="33" t="n"/>
    </row>
    <row r="69">
      <c r="A69" s="31" t="inlineStr">
        <is>
          <t>dep_pct_revenue_y1</t>
        </is>
      </c>
      <c r="B69" s="4" t="inlineStr">
        <is>
          <t>Depreciation % of revenue (Y1)</t>
        </is>
      </c>
      <c r="C69" s="2" t="inlineStr">
        <is>
          <t>percentage</t>
        </is>
      </c>
      <c r="D69" s="32" t="n"/>
      <c r="E69" s="32" t="n"/>
      <c r="F69" s="33" t="n"/>
      <c r="G69" s="33" t="n"/>
      <c r="H69" s="33" t="n"/>
    </row>
    <row r="70">
      <c r="A70" s="31" t="inlineStr">
        <is>
          <t>dep_pct_revenue_y2</t>
        </is>
      </c>
      <c r="B70" s="4" t="inlineStr">
        <is>
          <t>Depreciation % of revenue (Y2)</t>
        </is>
      </c>
      <c r="C70" s="2" t="inlineStr">
        <is>
          <t>percentage</t>
        </is>
      </c>
      <c r="D70" s="32" t="n"/>
      <c r="E70" s="32" t="n"/>
      <c r="F70" s="33" t="n"/>
      <c r="G70" s="33" t="n"/>
      <c r="H70" s="33" t="n"/>
    </row>
    <row r="71">
      <c r="A71" s="31" t="inlineStr">
        <is>
          <t>dep_pct_revenue_y3</t>
        </is>
      </c>
      <c r="B71" s="4" t="inlineStr">
        <is>
          <t>Depreciation % of revenue (Y3)</t>
        </is>
      </c>
      <c r="C71" s="2" t="inlineStr">
        <is>
          <t>percentage</t>
        </is>
      </c>
      <c r="D71" s="32" t="n"/>
      <c r="E71" s="32" t="n"/>
      <c r="F71" s="33" t="n"/>
      <c r="G71" s="33" t="n"/>
      <c r="H71" s="33" t="n"/>
    </row>
    <row r="72">
      <c r="A72" s="31" t="inlineStr">
        <is>
          <t>dep_pct_revenue_y4</t>
        </is>
      </c>
      <c r="B72" s="4" t="inlineStr">
        <is>
          <t>Depreciation % of revenue (Y4)</t>
        </is>
      </c>
      <c r="C72" s="2" t="inlineStr">
        <is>
          <t>percentage</t>
        </is>
      </c>
      <c r="D72" s="32" t="n"/>
      <c r="E72" s="32" t="n"/>
      <c r="F72" s="33" t="n"/>
      <c r="G72" s="33" t="n"/>
      <c r="H72" s="33" t="n"/>
    </row>
    <row r="73">
      <c r="A73" s="31" t="inlineStr">
        <is>
          <t>dep_pct_revenue_y5</t>
        </is>
      </c>
      <c r="B73" s="4" t="inlineStr">
        <is>
          <t>Depreciation % of revenue (Y5)</t>
        </is>
      </c>
      <c r="C73" s="2" t="inlineStr">
        <is>
          <t>percentage</t>
        </is>
      </c>
      <c r="D73" s="32" t="n"/>
      <c r="E73" s="32" t="n"/>
      <c r="F73" s="33" t="n"/>
      <c r="G73" s="33" t="n"/>
      <c r="H73" s="33" t="n"/>
    </row>
    <row r="74">
      <c r="A74" s="31" t="inlineStr">
        <is>
          <t>nwc_pct_sales_y1</t>
        </is>
      </c>
      <c r="B74" s="4" t="inlineStr">
        <is>
          <t>Working capital % of sales (Y1)</t>
        </is>
      </c>
      <c r="C74" s="2" t="inlineStr">
        <is>
          <t>percentage</t>
        </is>
      </c>
      <c r="D74" s="32" t="n"/>
      <c r="E74" s="32" t="n"/>
      <c r="F74" s="33" t="n"/>
      <c r="G74" s="33" t="n"/>
      <c r="H74" s="33" t="n"/>
    </row>
    <row r="75">
      <c r="A75" s="31" t="inlineStr">
        <is>
          <t>nwc_pct_sales_y2</t>
        </is>
      </c>
      <c r="B75" s="4" t="inlineStr">
        <is>
          <t>Working capital % of sales (Y2)</t>
        </is>
      </c>
      <c r="C75" s="2" t="inlineStr">
        <is>
          <t>percentage</t>
        </is>
      </c>
      <c r="D75" s="32" t="n"/>
      <c r="E75" s="32" t="n"/>
      <c r="F75" s="33" t="n"/>
      <c r="G75" s="33" t="n"/>
      <c r="H75" s="33" t="n"/>
    </row>
    <row r="76">
      <c r="A76" s="31" t="inlineStr">
        <is>
          <t>nwc_pct_sales_y3</t>
        </is>
      </c>
      <c r="B76" s="4" t="inlineStr">
        <is>
          <t>Working capital % of sales (Y3)</t>
        </is>
      </c>
      <c r="C76" s="2" t="inlineStr">
        <is>
          <t>percentage</t>
        </is>
      </c>
      <c r="D76" s="32" t="n"/>
      <c r="E76" s="32" t="n"/>
      <c r="F76" s="33" t="n"/>
      <c r="G76" s="33" t="n"/>
      <c r="H76" s="33" t="n"/>
    </row>
    <row r="77">
      <c r="A77" s="31" t="inlineStr">
        <is>
          <t>nwc_pct_sales_y4</t>
        </is>
      </c>
      <c r="B77" s="4" t="inlineStr">
        <is>
          <t>Working capital % of sales (Y4)</t>
        </is>
      </c>
      <c r="C77" s="2" t="inlineStr">
        <is>
          <t>percentage</t>
        </is>
      </c>
      <c r="D77" s="32" t="n"/>
      <c r="E77" s="32" t="n"/>
      <c r="F77" s="33" t="n"/>
      <c r="G77" s="33" t="n"/>
      <c r="H77" s="33" t="n"/>
    </row>
    <row r="78">
      <c r="A78" s="31" t="inlineStr">
        <is>
          <t>nwc_pct_sales_y5</t>
        </is>
      </c>
      <c r="B78" s="4" t="inlineStr">
        <is>
          <t>Working capital % of sales (Y5)</t>
        </is>
      </c>
      <c r="C78" s="2" t="inlineStr">
        <is>
          <t>percentage</t>
        </is>
      </c>
      <c r="D78" s="32" t="n"/>
      <c r="E78" s="32" t="n"/>
      <c r="F78" s="33" t="n"/>
      <c r="G78" s="33" t="n"/>
      <c r="H78" s="33" t="n"/>
    </row>
    <row r="80" ht="18" customHeight="1">
      <c r="A80" s="3" t="inlineStr">
        <is>
          <t>Section E — Terminal value  (Core)</t>
        </is>
      </c>
    </row>
    <row r="81">
      <c r="A81" s="31" t="inlineStr">
        <is>
          <t>terminal_method</t>
        </is>
      </c>
      <c r="B81" s="4" t="inlineStr">
        <is>
          <t>Terminal value method</t>
        </is>
      </c>
      <c r="C81" s="2" t="inlineStr">
        <is>
          <t>enum</t>
        </is>
      </c>
      <c r="D81" s="32" t="n"/>
      <c r="E81" s="32" t="n"/>
      <c r="F81" s="33" t="n"/>
      <c r="G81" s="33" t="n"/>
      <c r="H81" s="34" t="inlineStr">
        <is>
          <t>gordon_growth | exit_multiple</t>
        </is>
      </c>
    </row>
    <row r="82">
      <c r="A82" s="31" t="inlineStr">
        <is>
          <t>terminal_growth_rate</t>
        </is>
      </c>
      <c r="B82" s="4" t="inlineStr">
        <is>
          <t>Terminal growth rate</t>
        </is>
      </c>
      <c r="C82" s="2" t="inlineStr">
        <is>
          <t>percentage</t>
        </is>
      </c>
      <c r="D82" s="32" t="n"/>
      <c r="E82" s="32" t="n"/>
      <c r="F82" s="33" t="n"/>
      <c r="G82" s="33" t="n"/>
      <c r="H82" s="33" t="n"/>
    </row>
    <row r="83">
      <c r="A83" s="31" t="inlineStr">
        <is>
          <t>terminal_exit_multiple_type</t>
        </is>
      </c>
      <c r="B83" s="4" t="inlineStr">
        <is>
          <t>Exit multiple metric</t>
        </is>
      </c>
      <c r="C83" s="2" t="inlineStr">
        <is>
          <t>enum</t>
        </is>
      </c>
      <c r="D83" s="32" t="n"/>
      <c r="E83" s="32" t="n"/>
      <c r="F83" s="33" t="n"/>
      <c r="G83" s="33" t="n"/>
      <c r="H83" s="33" t="n"/>
    </row>
    <row r="84">
      <c r="A84" s="31" t="inlineStr">
        <is>
          <t>terminal_exit_multiple_value</t>
        </is>
      </c>
      <c r="B84" s="4" t="inlineStr">
        <is>
          <t>Exit multiple value</t>
        </is>
      </c>
      <c r="C84" s="2" t="inlineStr">
        <is>
          <t>number</t>
        </is>
      </c>
      <c r="D84" s="32" t="n"/>
      <c r="E84" s="32" t="n"/>
      <c r="F84" s="33" t="n"/>
      <c r="G84" s="33" t="n"/>
      <c r="H84" s="33" t="n"/>
    </row>
    <row r="85">
      <c r="A85" s="31" t="inlineStr">
        <is>
          <t>terminal_nominal_gdp_growth</t>
        </is>
      </c>
      <c r="B85" s="4" t="inlineStr">
        <is>
          <t>Nominal GDP growth (reference ceiling)</t>
        </is>
      </c>
      <c r="C85" s="2" t="inlineStr">
        <is>
          <t>percentage</t>
        </is>
      </c>
      <c r="D85" s="32" t="n"/>
      <c r="E85" s="32" t="n"/>
      <c r="F85" s="33" t="n"/>
      <c r="G85" s="33" t="n"/>
      <c r="H85" s="34" t="inlineStr">
        <is>
          <t>Long-run nominal GDP of the operating jurisdiction; terminal g at/above GDP − 50bps is flagged</t>
        </is>
      </c>
    </row>
    <row r="87" ht="18" customHeight="1">
      <c r="A87" s="3" t="inlineStr">
        <is>
          <t>Section F — WACC inputs  (Core)</t>
        </is>
      </c>
    </row>
    <row r="88">
      <c r="A88" s="31" t="inlineStr">
        <is>
          <t>risk_free_rate</t>
        </is>
      </c>
      <c r="B88" s="4" t="inlineStr">
        <is>
          <t>Risk-free rate</t>
        </is>
      </c>
      <c r="C88" s="2" t="inlineStr">
        <is>
          <t>percentage</t>
        </is>
      </c>
      <c r="D88" s="32" t="n"/>
      <c r="E88" s="32" t="n"/>
      <c r="F88" s="33" t="n"/>
      <c r="G88" s="33" t="n"/>
      <c r="H88" s="33" t="n"/>
    </row>
    <row r="89">
      <c r="A89" s="31" t="inlineStr">
        <is>
          <t>risk_free_rate_source</t>
        </is>
      </c>
      <c r="B89" s="4" t="inlineStr">
        <is>
          <t>Risk-free rate source descriptor</t>
        </is>
      </c>
      <c r="C89" s="2" t="inlineStr">
        <is>
          <t>text</t>
        </is>
      </c>
      <c r="D89" s="32" t="n"/>
      <c r="E89" s="32" t="n"/>
      <c r="F89" s="33" t="n"/>
      <c r="G89" s="33" t="n"/>
      <c r="H89" s="33" t="n"/>
    </row>
    <row r="90">
      <c r="A90" s="31" t="inlineStr">
        <is>
          <t>equity_risk_premium</t>
        </is>
      </c>
      <c r="B90" s="4" t="inlineStr">
        <is>
          <t>Equity risk premium (ERP)</t>
        </is>
      </c>
      <c r="C90" s="2" t="inlineStr">
        <is>
          <t>percentage</t>
        </is>
      </c>
      <c r="D90" s="32" t="n"/>
      <c r="E90" s="32" t="n"/>
      <c r="F90" s="33" t="n"/>
      <c r="G90" s="33" t="n"/>
      <c r="H90" s="33" t="n"/>
    </row>
    <row r="91">
      <c r="A91" s="31" t="inlineStr">
        <is>
          <t>country_risk_premium</t>
        </is>
      </c>
      <c r="B91" s="4" t="inlineStr">
        <is>
          <t>Country risk premium</t>
        </is>
      </c>
      <c r="C91" s="2" t="inlineStr">
        <is>
          <t>percentage</t>
        </is>
      </c>
      <c r="D91" s="32" t="n"/>
      <c r="E91" s="32" t="n"/>
      <c r="F91" s="33" t="n"/>
      <c r="G91" s="33" t="n"/>
      <c r="H91" s="33" t="n"/>
    </row>
    <row r="92">
      <c r="A92" s="31" t="inlineStr">
        <is>
          <t>unlevered_beta</t>
        </is>
      </c>
      <c r="B92" s="4" t="inlineStr">
        <is>
          <t>Unlevered beta</t>
        </is>
      </c>
      <c r="C92" s="2" t="inlineStr">
        <is>
          <t>number</t>
        </is>
      </c>
      <c r="D92" s="32" t="n"/>
      <c r="E92" s="32" t="n"/>
      <c r="F92" s="33" t="n"/>
      <c r="G92" s="33" t="n"/>
      <c r="H92" s="33" t="n"/>
    </row>
    <row r="93">
      <c r="A93" s="31" t="inlineStr">
        <is>
          <t>target_debt_to_equity</t>
        </is>
      </c>
      <c r="B93" s="4" t="inlineStr">
        <is>
          <t>Target D/E ratio</t>
        </is>
      </c>
      <c r="C93" s="2" t="inlineStr">
        <is>
          <t>percentage</t>
        </is>
      </c>
      <c r="D93" s="32" t="n"/>
      <c r="E93" s="32" t="n"/>
      <c r="F93" s="33" t="n"/>
      <c r="G93" s="33" t="n"/>
      <c r="H93" s="33" t="n"/>
    </row>
    <row r="94">
      <c r="A94" s="31" t="inlineStr">
        <is>
          <t>levered_beta</t>
        </is>
      </c>
      <c r="B94" s="4" t="inlineStr">
        <is>
          <t>Levered beta (calculated)</t>
        </is>
      </c>
      <c r="C94" s="2" t="inlineStr">
        <is>
          <t>number</t>
        </is>
      </c>
      <c r="D94" s="35">
        <f>WACC!E10</f>
        <v/>
      </c>
      <c r="E94" s="35">
        <f>WACC!F10</f>
        <v/>
      </c>
      <c r="F94" s="33" t="n"/>
      <c r="G94" s="33" t="n"/>
      <c r="H94" s="33" t="n"/>
    </row>
    <row r="95">
      <c r="A95" s="31" t="inlineStr">
        <is>
          <t>size_premium</t>
        </is>
      </c>
      <c r="B95" s="4" t="inlineStr">
        <is>
          <t>Size premium</t>
        </is>
      </c>
      <c r="C95" s="2" t="inlineStr">
        <is>
          <t>percentage</t>
        </is>
      </c>
      <c r="D95" s="32" t="n"/>
      <c r="E95" s="32" t="n"/>
      <c r="F95" s="33" t="n"/>
      <c r="G95" s="33" t="n"/>
      <c r="H95" s="33" t="n"/>
    </row>
    <row r="96">
      <c r="A96" s="31" t="inlineStr">
        <is>
          <t>specific_risk_premium</t>
        </is>
      </c>
      <c r="B96" s="4" t="inlineStr">
        <is>
          <t>Specific risk premium</t>
        </is>
      </c>
      <c r="C96" s="2" t="inlineStr">
        <is>
          <t>percentage</t>
        </is>
      </c>
      <c r="D96" s="32" t="n"/>
      <c r="E96" s="32" t="n"/>
      <c r="F96" s="33" t="n"/>
      <c r="G96" s="33" t="n"/>
      <c r="H96" s="33" t="n"/>
    </row>
    <row r="97">
      <c r="A97" s="31" t="inlineStr">
        <is>
          <t>cost_of_equity</t>
        </is>
      </c>
      <c r="B97" s="4" t="inlineStr">
        <is>
          <t>Cost of equity (calculated)</t>
        </is>
      </c>
      <c r="C97" s="2" t="inlineStr">
        <is>
          <t>percentage</t>
        </is>
      </c>
      <c r="D97" s="36">
        <f>WACC!E16</f>
        <v/>
      </c>
      <c r="E97" s="36">
        <f>WACC!F16</f>
        <v/>
      </c>
      <c r="F97" s="33" t="n"/>
      <c r="G97" s="33" t="n"/>
      <c r="H97" s="33" t="n"/>
    </row>
    <row r="98">
      <c r="A98" s="31" t="inlineStr">
        <is>
          <t>pretax_cost_of_debt</t>
        </is>
      </c>
      <c r="B98" s="4" t="inlineStr">
        <is>
          <t>Pre-tax cost of debt</t>
        </is>
      </c>
      <c r="C98" s="2" t="inlineStr">
        <is>
          <t>percentage</t>
        </is>
      </c>
      <c r="D98" s="32" t="n"/>
      <c r="E98" s="32" t="n"/>
      <c r="F98" s="33" t="n"/>
      <c r="G98" s="33" t="n"/>
      <c r="H98" s="33" t="n"/>
    </row>
    <row r="99">
      <c r="A99" s="31" t="inlineStr">
        <is>
          <t>aftertax_cost_of_debt</t>
        </is>
      </c>
      <c r="B99" s="4" t="inlineStr">
        <is>
          <t>After-tax cost of debt (calculated)</t>
        </is>
      </c>
      <c r="C99" s="2" t="inlineStr">
        <is>
          <t>percentage</t>
        </is>
      </c>
      <c r="D99" s="36">
        <f>WACC!E20</f>
        <v/>
      </c>
      <c r="E99" s="36">
        <f>WACC!F20</f>
        <v/>
      </c>
      <c r="F99" s="33" t="n"/>
      <c r="G99" s="33" t="n"/>
      <c r="H99" s="33" t="n"/>
    </row>
    <row r="100">
      <c r="A100" s="31" t="inlineStr">
        <is>
          <t>target_debt_weight</t>
        </is>
      </c>
      <c r="B100" s="4" t="inlineStr">
        <is>
          <t>D/V (debt weight)</t>
        </is>
      </c>
      <c r="C100" s="2" t="inlineStr">
        <is>
          <t>percentage</t>
        </is>
      </c>
      <c r="D100" s="32" t="n"/>
      <c r="E100" s="32" t="n"/>
      <c r="F100" s="33" t="n"/>
      <c r="G100" s="33" t="n"/>
      <c r="H100" s="33" t="n"/>
    </row>
    <row r="101">
      <c r="A101" s="31" t="inlineStr">
        <is>
          <t>target_equity_weight</t>
        </is>
      </c>
      <c r="B101" s="4" t="inlineStr">
        <is>
          <t>E/V (equity weight)</t>
        </is>
      </c>
      <c r="C101" s="2" t="inlineStr">
        <is>
          <t>percentage</t>
        </is>
      </c>
      <c r="D101" s="32" t="n"/>
      <c r="E101" s="32" t="n"/>
      <c r="F101" s="33" t="n"/>
      <c r="G101" s="33" t="n"/>
      <c r="H101" s="33" t="n"/>
    </row>
    <row r="102">
      <c r="A102" s="31" t="inlineStr">
        <is>
          <t>wacc</t>
        </is>
      </c>
      <c r="B102" s="4" t="inlineStr">
        <is>
          <t>WACC (calculated)</t>
        </is>
      </c>
      <c r="C102" s="2" t="inlineStr">
        <is>
          <t>percentage</t>
        </is>
      </c>
      <c r="D102" s="36">
        <f>WACC!E25</f>
        <v/>
      </c>
      <c r="E102" s="36">
        <f>WACC!F25</f>
        <v/>
      </c>
      <c r="F102" s="33" t="n"/>
      <c r="G102" s="33" t="n"/>
      <c r="H102" s="33" t="n"/>
    </row>
    <row r="104" ht="18" customHeight="1">
      <c r="A104" s="3" t="inlineStr">
        <is>
          <t>Section I — EV -&gt; Equity bridge  (Core)</t>
        </is>
      </c>
    </row>
    <row r="105">
      <c r="A105" s="31" t="inlineStr">
        <is>
          <t>surplus_assets</t>
        </is>
      </c>
      <c r="B105" s="4" t="inlineStr">
        <is>
          <t>Surplus / non-operating assets</t>
        </is>
      </c>
      <c r="C105" s="2" t="inlineStr">
        <is>
          <t>currency</t>
        </is>
      </c>
      <c r="D105" s="32" t="n"/>
      <c r="E105" s="32" t="n"/>
      <c r="F105" s="33" t="n"/>
      <c r="G105" s="33" t="n"/>
      <c r="H105" s="33" t="n"/>
    </row>
    <row r="106">
      <c r="A106" s="31" t="inlineStr">
        <is>
          <t>net_debt_override</t>
        </is>
      </c>
      <c r="B106" s="4" t="inlineStr">
        <is>
          <t>Net debt (override)</t>
        </is>
      </c>
      <c r="C106" s="2" t="inlineStr">
        <is>
          <t>currency</t>
        </is>
      </c>
      <c r="D106" s="32" t="n"/>
      <c r="E106" s="32" t="n"/>
      <c r="F106" s="33" t="n"/>
      <c r="G106" s="33" t="n"/>
      <c r="H106" s="33" t="n"/>
    </row>
    <row r="107">
      <c r="A107" s="31" t="inlineStr">
        <is>
          <t>minority_interests</t>
        </is>
      </c>
      <c r="B107" s="4" t="inlineStr">
        <is>
          <t>Minority interests</t>
        </is>
      </c>
      <c r="C107" s="2" t="inlineStr">
        <is>
          <t>currency</t>
        </is>
      </c>
      <c r="D107" s="32" t="n"/>
      <c r="E107" s="32" t="n"/>
      <c r="F107" s="33" t="n"/>
      <c r="G107" s="33" t="n"/>
      <c r="H107" s="33" t="n"/>
    </row>
    <row r="108">
      <c r="A108" s="31" t="inlineStr">
        <is>
          <t>non_operating_assets</t>
        </is>
      </c>
      <c r="B108" s="4" t="inlineStr">
        <is>
          <t>Non-operating assets</t>
        </is>
      </c>
      <c r="C108" s="2" t="inlineStr">
        <is>
          <t>currency</t>
        </is>
      </c>
      <c r="D108" s="32" t="n"/>
      <c r="E108" s="32" t="n"/>
      <c r="F108" s="33" t="n"/>
      <c r="G108" s="33" t="n"/>
      <c r="H108" s="33" t="n"/>
    </row>
    <row r="109">
      <c r="A109" s="31" t="inlineStr">
        <is>
          <t>dlom_pct</t>
        </is>
      </c>
      <c r="B109" s="4" t="inlineStr">
        <is>
          <t>DLOM rate</t>
        </is>
      </c>
      <c r="C109" s="2" t="inlineStr">
        <is>
          <t>percentage</t>
        </is>
      </c>
      <c r="D109" s="32" t="n"/>
      <c r="E109" s="32" t="n"/>
      <c r="F109" s="33" t="n"/>
      <c r="G109" s="33" t="n"/>
      <c r="H109" s="33" t="n"/>
    </row>
    <row r="110">
      <c r="A110" s="31" t="inlineStr">
        <is>
          <t>dloc_pct</t>
        </is>
      </c>
      <c r="B110" s="4" t="inlineStr">
        <is>
          <t>DLOC rate</t>
        </is>
      </c>
      <c r="C110" s="2" t="inlineStr">
        <is>
          <t>percentage</t>
        </is>
      </c>
      <c r="D110" s="32" t="n"/>
      <c r="E110" s="32" t="n"/>
      <c r="F110" s="33" t="n"/>
      <c r="G110" s="33" t="n"/>
      <c r="H110" s="33" t="n"/>
    </row>
    <row r="111">
      <c r="A111" s="31" t="inlineStr">
        <is>
          <t>equity_interest_pct</t>
        </is>
      </c>
      <c r="B111" s="4" t="inlineStr">
        <is>
          <t>Client's % equity interest</t>
        </is>
      </c>
      <c r="C111" s="2" t="inlineStr">
        <is>
          <t>percentage</t>
        </is>
      </c>
      <c r="D111" s="32" t="n"/>
      <c r="E111" s="32" t="n"/>
      <c r="F111" s="33" t="n"/>
      <c r="G111" s="33" t="n"/>
      <c r="H111" s="33" t="n"/>
    </row>
    <row r="112">
      <c r="A112" s="31" t="inlineStr">
        <is>
          <t>shares_outstanding</t>
        </is>
      </c>
      <c r="B112" s="4" t="inlineStr">
        <is>
          <t>Shares outstanding (basic)</t>
        </is>
      </c>
      <c r="C112" s="2" t="inlineStr">
        <is>
          <t>number</t>
        </is>
      </c>
      <c r="D112" s="32" t="n"/>
      <c r="E112" s="32" t="n"/>
      <c r="F112" s="33" t="n"/>
      <c r="G112" s="33" t="n"/>
      <c r="H112" s="33" t="n"/>
    </row>
    <row r="113">
      <c r="A113" s="31" t="inlineStr">
        <is>
          <t>shares_outstanding_diluted</t>
        </is>
      </c>
      <c r="B113" s="4" t="inlineStr">
        <is>
          <t>Shares outstanding (diluted)</t>
        </is>
      </c>
      <c r="C113" s="2" t="inlineStr">
        <is>
          <t>number</t>
        </is>
      </c>
      <c r="D113" s="32" t="n"/>
      <c r="E113" s="32" t="n"/>
      <c r="F113" s="33" t="n"/>
      <c r="G113" s="33" t="n"/>
      <c r="H113" s="33" t="n"/>
    </row>
    <row r="114">
      <c r="A114" s="31" t="inlineStr">
        <is>
          <t>pre_money_pct</t>
        </is>
      </c>
      <c r="B114" s="4" t="inlineStr">
        <is>
          <t>Pre-money equity %</t>
        </is>
      </c>
      <c r="C114" s="2" t="inlineStr">
        <is>
          <t>percentage</t>
        </is>
      </c>
      <c r="D114" s="32" t="n"/>
      <c r="E114" s="32" t="n"/>
      <c r="F114" s="33" t="n"/>
      <c r="G114" s="33" t="n"/>
      <c r="H114" s="33" t="n"/>
    </row>
    <row r="116" ht="18" customHeight="1">
      <c r="A116" s="37" t="inlineStr">
        <is>
          <t>Section J — Adjustment toggles  (Extended)</t>
        </is>
      </c>
    </row>
    <row r="117">
      <c r="A117" s="31" t="inlineStr">
        <is>
          <t>capitalize_rd</t>
        </is>
      </c>
      <c r="B117" s="4" t="inlineStr">
        <is>
          <t>Capitalize R&amp;D?</t>
        </is>
      </c>
      <c r="C117" s="2" t="inlineStr">
        <is>
          <t>boolean</t>
        </is>
      </c>
      <c r="D117" s="32" t="n"/>
      <c r="E117" s="32" t="n"/>
      <c r="F117" s="33" t="n"/>
      <c r="G117" s="33" t="n"/>
      <c r="H117" s="33" t="n"/>
    </row>
    <row r="118">
      <c r="A118" s="31" t="inlineStr">
        <is>
          <t>rd_amortization_years</t>
        </is>
      </c>
      <c r="B118" s="4" t="inlineStr">
        <is>
          <t>R&amp;D amortization period (years)</t>
        </is>
      </c>
      <c r="C118" s="2" t="inlineStr">
        <is>
          <t>number</t>
        </is>
      </c>
      <c r="D118" s="32" t="n"/>
      <c r="E118" s="32" t="n"/>
      <c r="F118" s="33" t="n"/>
      <c r="G118" s="33" t="n"/>
      <c r="H118" s="33" t="n"/>
    </row>
    <row r="119">
      <c r="A119" s="31" t="inlineStr">
        <is>
          <t>convert_operating_leases</t>
        </is>
      </c>
      <c r="B119" s="4" t="inlineStr">
        <is>
          <t>Convert operating leases to debt?</t>
        </is>
      </c>
      <c r="C119" s="2" t="inlineStr">
        <is>
          <t>boolean</t>
        </is>
      </c>
      <c r="D119" s="32" t="n"/>
      <c r="E119" s="32" t="n"/>
      <c r="F119" s="33" t="n"/>
      <c r="G119" s="33" t="n"/>
      <c r="H119" s="33" t="n"/>
    </row>
    <row r="120">
      <c r="A120" s="31" t="inlineStr">
        <is>
          <t>lease_discount_rate</t>
        </is>
      </c>
      <c r="B120" s="4" t="inlineStr">
        <is>
          <t>Lease discount rate</t>
        </is>
      </c>
      <c r="C120" s="2" t="inlineStr">
        <is>
          <t>percentage</t>
        </is>
      </c>
      <c r="D120" s="32" t="n"/>
      <c r="E120" s="32" t="n"/>
      <c r="F120" s="33" t="n"/>
      <c r="G120" s="33" t="n"/>
      <c r="H120" s="33" t="n"/>
    </row>
    <row r="122" ht="18" customHeight="1">
      <c r="A122" s="37" t="inlineStr">
        <is>
          <t>Section K — Football field weights  (Extended)</t>
        </is>
      </c>
    </row>
    <row r="123">
      <c r="A123" s="31" t="inlineStr">
        <is>
          <t>weight_dcf</t>
        </is>
      </c>
      <c r="B123" s="4" t="inlineStr">
        <is>
          <t>DCF weight</t>
        </is>
      </c>
      <c r="C123" s="2" t="inlineStr">
        <is>
          <t>percentage</t>
        </is>
      </c>
      <c r="D123" s="32" t="n"/>
      <c r="E123" s="32" t="n"/>
      <c r="F123" s="33" t="n"/>
      <c r="G123" s="33" t="n"/>
      <c r="H123" s="33" t="n"/>
    </row>
    <row r="124">
      <c r="A124" s="31" t="inlineStr">
        <is>
          <t>weight_comps</t>
        </is>
      </c>
      <c r="B124" s="4" t="inlineStr">
        <is>
          <t>Comparable companies weight</t>
        </is>
      </c>
      <c r="C124" s="2" t="inlineStr">
        <is>
          <t>percentage</t>
        </is>
      </c>
      <c r="D124" s="32" t="n"/>
      <c r="E124" s="32" t="n"/>
      <c r="F124" s="33" t="n"/>
      <c r="G124" s="33" t="n"/>
      <c r="H124" s="33" t="n"/>
    </row>
    <row r="125">
      <c r="A125" s="31" t="inlineStr">
        <is>
          <t>weight_precedent</t>
        </is>
      </c>
      <c r="B125" s="4" t="inlineStr">
        <is>
          <t>Precedent transactions weight</t>
        </is>
      </c>
      <c r="C125" s="2" t="inlineStr">
        <is>
          <t>percentage</t>
        </is>
      </c>
      <c r="D125" s="32" t="n"/>
      <c r="E125" s="32" t="n"/>
      <c r="F125" s="33" t="n"/>
      <c r="G125" s="33" t="n"/>
      <c r="H125" s="33" t="n"/>
    </row>
    <row r="126">
      <c r="A126" s="31" t="inlineStr">
        <is>
          <t>weight_nav</t>
        </is>
      </c>
      <c r="B126" s="4" t="inlineStr">
        <is>
          <t>NAV / asset-based weight</t>
        </is>
      </c>
      <c r="C126" s="2" t="inlineStr">
        <is>
          <t>percentage</t>
        </is>
      </c>
      <c r="D126" s="32" t="n"/>
      <c r="E126" s="32" t="n"/>
      <c r="F126" s="33" t="n"/>
      <c r="G126" s="33" t="n"/>
      <c r="H126" s="33" t="n"/>
    </row>
    <row r="127">
      <c r="A127" s="31" t="inlineStr">
        <is>
          <t>selected_low</t>
        </is>
      </c>
      <c r="B127" s="4" t="inlineStr">
        <is>
          <t>Selected valuation low</t>
        </is>
      </c>
      <c r="C127" s="2" t="inlineStr">
        <is>
          <t>currency</t>
        </is>
      </c>
      <c r="D127" s="32" t="n"/>
      <c r="E127" s="32" t="n"/>
      <c r="F127" s="33" t="n"/>
      <c r="G127" s="33" t="n"/>
      <c r="H127" s="33" t="n"/>
    </row>
    <row r="128">
      <c r="A128" s="31" t="inlineStr">
        <is>
          <t>selected_mid</t>
        </is>
      </c>
      <c r="B128" s="4" t="inlineStr">
        <is>
          <t>Selected valuation mid</t>
        </is>
      </c>
      <c r="C128" s="2" t="inlineStr">
        <is>
          <t>currency</t>
        </is>
      </c>
      <c r="D128" s="32" t="n"/>
      <c r="E128" s="32" t="n"/>
      <c r="F128" s="33" t="n"/>
      <c r="G128" s="33" t="n"/>
      <c r="H128" s="33" t="n"/>
    </row>
    <row r="129">
      <c r="A129" s="31" t="inlineStr">
        <is>
          <t>selected_high</t>
        </is>
      </c>
      <c r="B129" s="4" t="inlineStr">
        <is>
          <t>Selected valuation high</t>
        </is>
      </c>
      <c r="C129" s="2" t="inlineStr">
        <is>
          <t>currency</t>
        </is>
      </c>
      <c r="D129" s="32" t="n"/>
      <c r="E129" s="32" t="n"/>
      <c r="F129" s="33" t="n"/>
      <c r="G129" s="33" t="n"/>
      <c r="H129" s="33" t="n"/>
    </row>
    <row r="131" ht="18" customHeight="1">
      <c r="A131" s="37" t="inlineStr">
        <is>
          <t>Section L — Sensitivity ranges  (Extended)</t>
        </is>
      </c>
    </row>
    <row r="132">
      <c r="A132" s="31" t="inlineStr">
        <is>
          <t>sens_wacc_step</t>
        </is>
      </c>
      <c r="B132" s="4" t="inlineStr">
        <is>
          <t>WACC sensitivity step</t>
        </is>
      </c>
      <c r="C132" s="2" t="inlineStr">
        <is>
          <t>percentage</t>
        </is>
      </c>
      <c r="D132" s="32" t="n"/>
      <c r="E132" s="32" t="n"/>
      <c r="F132" s="33" t="n"/>
      <c r="G132" s="33" t="n"/>
      <c r="H132" s="33" t="n"/>
    </row>
    <row r="133">
      <c r="A133" s="31" t="inlineStr">
        <is>
          <t>sens_wacc_count</t>
        </is>
      </c>
      <c r="B133" s="4" t="inlineStr">
        <is>
          <t>WACC steps each side of base</t>
        </is>
      </c>
      <c r="C133" s="2" t="inlineStr">
        <is>
          <t>number</t>
        </is>
      </c>
      <c r="D133" s="32" t="n"/>
      <c r="E133" s="32" t="n"/>
      <c r="F133" s="33" t="n"/>
      <c r="G133" s="33" t="n"/>
      <c r="H133" s="33" t="n"/>
    </row>
    <row r="134">
      <c r="A134" s="31" t="inlineStr">
        <is>
          <t>sens_terminal_g_step</t>
        </is>
      </c>
      <c r="B134" s="4" t="inlineStr">
        <is>
          <t>Terminal g sensitivity step</t>
        </is>
      </c>
      <c r="C134" s="2" t="inlineStr">
        <is>
          <t>percentage</t>
        </is>
      </c>
      <c r="D134" s="32" t="n"/>
      <c r="E134" s="32" t="n"/>
      <c r="F134" s="33" t="n"/>
      <c r="G134" s="33" t="n"/>
      <c r="H134" s="33" t="n"/>
    </row>
    <row r="135">
      <c r="A135" s="31" t="inlineStr">
        <is>
          <t>sens_terminal_g_count</t>
        </is>
      </c>
      <c r="B135" s="4" t="inlineStr">
        <is>
          <t>Terminal g steps each side</t>
        </is>
      </c>
      <c r="C135" s="2" t="inlineStr">
        <is>
          <t>number</t>
        </is>
      </c>
      <c r="D135" s="32" t="n"/>
      <c r="E135" s="32" t="n"/>
      <c r="F135" s="33" t="n"/>
      <c r="G135" s="33" t="n"/>
      <c r="H135" s="33" t="n"/>
    </row>
    <row r="136">
      <c r="A136" s="31" t="inlineStr">
        <is>
          <t>sens_revenue_g_step</t>
        </is>
      </c>
      <c r="B136" s="4" t="inlineStr">
        <is>
          <t>Revenue growth sens step</t>
        </is>
      </c>
      <c r="C136" s="2" t="inlineStr">
        <is>
          <t>percentage</t>
        </is>
      </c>
      <c r="D136" s="32" t="n"/>
      <c r="E136" s="32" t="n"/>
      <c r="F136" s="33" t="n"/>
      <c r="G136" s="33" t="n"/>
      <c r="H136" s="33" t="n"/>
    </row>
    <row r="137">
      <c r="A137" s="31" t="inlineStr">
        <is>
          <t>sens_ebitda_margin_step</t>
        </is>
      </c>
      <c r="B137" s="4" t="inlineStr">
        <is>
          <t>EBITDA margin sens step</t>
        </is>
      </c>
      <c r="C137" s="2" t="inlineStr">
        <is>
          <t>percentage</t>
        </is>
      </c>
      <c r="D137" s="32" t="n"/>
      <c r="E137" s="32" t="n"/>
      <c r="F137" s="33" t="n"/>
      <c r="G137" s="33" t="n"/>
      <c r="H137" s="33" t="n"/>
    </row>
    <row r="139">
      <c r="A139" s="3" t="inlineStr">
        <is>
          <t>Section G — Comparable companies table  (Core)</t>
        </is>
      </c>
    </row>
    <row r="140">
      <c r="A140" s="21" t="inlineStr">
        <is>
          <t>Tier</t>
        </is>
      </c>
      <c r="B140" s="21" t="inlineStr">
        <is>
          <t>Include</t>
        </is>
      </c>
      <c r="C140" s="21" t="inlineStr">
        <is>
          <t>Company</t>
        </is>
      </c>
      <c r="D140" s="21" t="inlineStr">
        <is>
          <t>Ticker</t>
        </is>
      </c>
      <c r="E140" s="21" t="inlineStr">
        <is>
          <t>Business description</t>
        </is>
      </c>
      <c r="F140" s="21" t="inlineStr">
        <is>
          <t>Country</t>
        </is>
      </c>
      <c r="G140" s="21" t="inlineStr">
        <is>
          <t>Accounting standard</t>
        </is>
      </c>
      <c r="H140" s="21" t="inlineStr">
        <is>
          <t>Market cap (USD mm)</t>
        </is>
      </c>
      <c r="I140" s="21" t="inlineStr">
        <is>
          <t>D/E ratio</t>
        </is>
      </c>
      <c r="J140" s="21" t="inlineStr">
        <is>
          <t>Raw levered beta</t>
        </is>
      </c>
      <c r="K140" s="21" t="inlineStr">
        <is>
          <t>Effective tax rate</t>
        </is>
      </c>
      <c r="L140" s="21" t="inlineStr">
        <is>
          <t>Unlevered beta (calculated)</t>
        </is>
      </c>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5">
      <c r="A165" s="33" t="n"/>
      <c r="B165" s="33" t="n"/>
      <c r="C165" s="33" t="n"/>
      <c r="D165" s="33" t="n"/>
      <c r="E165" s="33" t="n"/>
      <c r="F165" s="33" t="n"/>
      <c r="G165" s="33" t="n"/>
      <c r="H165" s="33" t="n"/>
      <c r="I165" s="33" t="n"/>
      <c r="J165" s="33" t="n"/>
      <c r="K165" s="33" t="n"/>
      <c r="L165" s="33" t="n"/>
    </row>
    <row r="166">
      <c r="A166" s="33" t="n"/>
      <c r="B166" s="33" t="n"/>
      <c r="C166" s="33" t="n"/>
      <c r="D166" s="33" t="n"/>
      <c r="E166" s="33" t="n"/>
      <c r="F166" s="33" t="n"/>
      <c r="G166" s="33" t="n"/>
      <c r="H166" s="33" t="n"/>
      <c r="I166" s="33" t="n"/>
      <c r="J166" s="33" t="n"/>
      <c r="K166" s="33" t="n"/>
      <c r="L166" s="33" t="n"/>
    </row>
    <row r="167">
      <c r="A167" s="33" t="n"/>
      <c r="B167" s="33" t="n"/>
      <c r="C167" s="33" t="n"/>
      <c r="D167" s="33" t="n"/>
      <c r="E167" s="33" t="n"/>
      <c r="F167" s="33" t="n"/>
      <c r="G167" s="33" t="n"/>
      <c r="H167" s="33" t="n"/>
      <c r="I167" s="33" t="n"/>
      <c r="J167" s="33" t="n"/>
      <c r="K167" s="33" t="n"/>
      <c r="L167" s="33" t="n"/>
    </row>
    <row r="168">
      <c r="A168" s="33" t="n"/>
      <c r="B168" s="33" t="n"/>
      <c r="C168" s="33" t="n"/>
      <c r="D168" s="33" t="n"/>
      <c r="E168" s="33" t="n"/>
      <c r="F168" s="33" t="n"/>
      <c r="G168" s="33" t="n"/>
      <c r="H168" s="33" t="n"/>
      <c r="I168" s="33" t="n"/>
      <c r="J168" s="33" t="n"/>
      <c r="K168" s="33" t="n"/>
      <c r="L168" s="33" t="n"/>
    </row>
    <row r="169">
      <c r="A169" s="33" t="n"/>
      <c r="B169" s="33" t="n"/>
      <c r="C169" s="33" t="n"/>
      <c r="D169" s="33" t="n"/>
      <c r="E169" s="33" t="n"/>
      <c r="F169" s="33" t="n"/>
      <c r="G169" s="33" t="n"/>
      <c r="H169" s="33" t="n"/>
      <c r="I169" s="33" t="n"/>
      <c r="J169" s="33" t="n"/>
      <c r="K169" s="33" t="n"/>
      <c r="L169" s="33" t="n"/>
    </row>
    <row r="170">
      <c r="A170" s="33" t="n"/>
      <c r="B170" s="33" t="n"/>
      <c r="C170" s="33" t="n"/>
      <c r="D170" s="33" t="n"/>
      <c r="E170" s="33" t="n"/>
      <c r="F170" s="33" t="n"/>
      <c r="G170" s="33" t="n"/>
      <c r="H170" s="33" t="n"/>
      <c r="I170" s="33" t="n"/>
      <c r="J170" s="33" t="n"/>
      <c r="K170" s="33" t="n"/>
      <c r="L170" s="33" t="n"/>
    </row>
    <row r="172">
      <c r="A172" s="37" t="inlineStr">
        <is>
          <t>Section H — Precedent transactions  (Extended)</t>
        </is>
      </c>
    </row>
    <row r="173">
      <c r="A173" s="21" t="inlineStr">
        <is>
          <t>Include</t>
        </is>
      </c>
      <c r="B173" s="21" t="inlineStr">
        <is>
          <t>Date</t>
        </is>
      </c>
      <c r="C173" s="21" t="inlineStr">
        <is>
          <t>Acquirer</t>
        </is>
      </c>
      <c r="D173" s="21" t="inlineStr">
        <is>
          <t>Target</t>
        </is>
      </c>
      <c r="E173" s="21" t="inlineStr">
        <is>
          <t>EV (USD mm)</t>
        </is>
      </c>
      <c r="F173" s="21" t="inlineStr">
        <is>
          <t>EV/Revenue</t>
        </is>
      </c>
      <c r="G173" s="21" t="inlineStr">
        <is>
          <t>EV/EBITDA</t>
        </is>
      </c>
      <c r="H173" s="21" t="inlineStr">
        <is>
          <t>Premium paid</t>
        </is>
      </c>
      <c r="I173" s="21" t="inlineStr">
        <is>
          <t>Strategic rationale</t>
        </is>
      </c>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3">
      <c r="A183" s="33" t="n"/>
      <c r="B183" s="33" t="n"/>
      <c r="C183" s="33" t="n"/>
      <c r="D183" s="33" t="n"/>
      <c r="E183" s="33" t="n"/>
      <c r="F183" s="33" t="n"/>
      <c r="G183" s="33" t="n"/>
      <c r="H183" s="33" t="n"/>
      <c r="I183" s="33" t="n"/>
    </row>
    <row r="184">
      <c r="A184" s="33" t="n"/>
      <c r="B184" s="33" t="n"/>
      <c r="C184" s="33" t="n"/>
      <c r="D184" s="33" t="n"/>
      <c r="E184" s="33" t="n"/>
      <c r="F184" s="33" t="n"/>
      <c r="G184" s="33" t="n"/>
      <c r="H184" s="33" t="n"/>
      <c r="I184" s="33" t="n"/>
    </row>
    <row r="185">
      <c r="A185" s="33" t="n"/>
      <c r="B185" s="33" t="n"/>
      <c r="C185" s="33" t="n"/>
      <c r="D185" s="33" t="n"/>
      <c r="E185" s="33" t="n"/>
      <c r="F185" s="33" t="n"/>
      <c r="G185" s="33" t="n"/>
      <c r="H185" s="33" t="n"/>
      <c r="I185" s="33" t="n"/>
    </row>
    <row r="186">
      <c r="A186" s="33" t="n"/>
      <c r="B186" s="33" t="n"/>
      <c r="C186" s="33" t="n"/>
      <c r="D186" s="33" t="n"/>
      <c r="E186" s="33" t="n"/>
      <c r="F186" s="33" t="n"/>
      <c r="G186" s="33" t="n"/>
      <c r="H186" s="33" t="n"/>
      <c r="I186" s="33" t="n"/>
    </row>
    <row r="187">
      <c r="A187" s="33" t="n"/>
      <c r="B187" s="33" t="n"/>
      <c r="C187" s="33" t="n"/>
      <c r="D187" s="33" t="n"/>
      <c r="E187" s="33" t="n"/>
      <c r="F187" s="33" t="n"/>
      <c r="G187" s="33" t="n"/>
      <c r="H187" s="33" t="n"/>
      <c r="I187" s="33" t="n"/>
    </row>
    <row r="188">
      <c r="A188" s="33" t="n"/>
      <c r="B188" s="33" t="n"/>
      <c r="C188" s="33" t="n"/>
      <c r="D188" s="33" t="n"/>
      <c r="E188" s="33" t="n"/>
      <c r="F188" s="33" t="n"/>
      <c r="G188" s="33" t="n"/>
      <c r="H188" s="33" t="n"/>
      <c r="I188" s="33" t="n"/>
    </row>
    <row r="190">
      <c r="A190" s="37" t="inlineStr">
        <is>
          <t>Section I — Revenue segments  (Optional)</t>
        </is>
      </c>
    </row>
    <row r="191">
      <c r="A191"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92">
      <c r="A192" s="21" t="inlineStr">
        <is>
          <t>Segment name</t>
        </is>
      </c>
      <c r="B192" s="21" t="inlineStr">
        <is>
          <t>Start year</t>
        </is>
      </c>
      <c r="C192" s="21" t="inlineStr">
        <is>
          <t>Initial revenue</t>
        </is>
      </c>
      <c r="D192" s="21" t="inlineStr">
        <is>
          <t>Growth Y1</t>
        </is>
      </c>
      <c r="E192" s="21" t="inlineStr">
        <is>
          <t>Growth Y2</t>
        </is>
      </c>
      <c r="F192" s="21" t="inlineStr">
        <is>
          <t>Growth Y3</t>
        </is>
      </c>
      <c r="G192" s="21" t="inlineStr">
        <is>
          <t>Growth Y4</t>
        </is>
      </c>
      <c r="H192" s="21" t="inlineStr">
        <is>
          <t>Growth Y5</t>
        </is>
      </c>
      <c r="I192" s="21" t="inlineStr">
        <is>
          <t>GM Y1</t>
        </is>
      </c>
      <c r="J192" s="21" t="inlineStr">
        <is>
          <t>GM Y2</t>
        </is>
      </c>
      <c r="K192" s="21" t="inlineStr">
        <is>
          <t>GM Y3</t>
        </is>
      </c>
      <c r="L192" s="21" t="inlineStr">
        <is>
          <t>GM Y4</t>
        </is>
      </c>
      <c r="M192" s="21" t="inlineStr">
        <is>
          <t>GM Y5</t>
        </is>
      </c>
      <c r="N192" s="21" t="inlineStr">
        <is>
          <t>Opex% Y1</t>
        </is>
      </c>
      <c r="O192" s="21" t="inlineStr">
        <is>
          <t>Opex% Y2</t>
        </is>
      </c>
      <c r="P192" s="21" t="inlineStr">
        <is>
          <t>Opex% Y3</t>
        </is>
      </c>
      <c r="Q192" s="21" t="inlineStr">
        <is>
          <t>Opex% Y4</t>
        </is>
      </c>
      <c r="R192" s="21" t="inlineStr">
        <is>
          <t>Opex% Y5</t>
        </is>
      </c>
      <c r="S192" s="21" t="inlineStr">
        <is>
          <t>Source</t>
        </is>
      </c>
      <c r="T192" s="21" t="inlineStr">
        <is>
          <t>Growth basis</t>
        </is>
      </c>
      <c r="U192" s="21" t="inlineStr">
        <is>
          <t>Contractual support</t>
        </is>
      </c>
    </row>
    <row r="193">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row>
    <row r="194">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row>
    <row r="195">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row>
    <row r="196">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row>
    <row r="197">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row>
  </sheetData>
  <mergeCells count="16">
    <mergeCell ref="A131:H131"/>
    <mergeCell ref="A80:H80"/>
    <mergeCell ref="A191:M191"/>
    <mergeCell ref="A139:H139"/>
    <mergeCell ref="A122:H122"/>
    <mergeCell ref="A87:H87"/>
    <mergeCell ref="A25:H25"/>
    <mergeCell ref="A172:H172"/>
    <mergeCell ref="A2:H2"/>
    <mergeCell ref="A104:H104"/>
    <mergeCell ref="A19:H19"/>
    <mergeCell ref="A33:H33"/>
    <mergeCell ref="A116:H116"/>
    <mergeCell ref="A1:H1"/>
    <mergeCell ref="A190:M190"/>
    <mergeCell ref="A6:H6"/>
  </mergeCells>
  <dataValidations count="2">
    <dataValidation sqref="F7 F8 F9 F10 F11 F12 F13 F14 F15 F16 F17 F20 F21 F22 F23 F26 F27 F28 F29 F30 F31 F34 F35 F36 F37 F38 F39 F40 F41 F42 F43 F44 F45 F46 F47 F48 F49 F50 F51 F52 F53 F54 F55 F56 F57 F58 F59 F60 F61 F62 F63 F64 F65 F66 F67 F68 F69 F70 F71 F72 F73 F74 F75 F76 F77 F78 F81 F82 F83 F84 F85 F88 F89 F90 F91 F92 F93 F94 F95 F96 F97 F98 F99 F100 F101 F102 F105 F106 F107 F108 F109 F110 F111 F112 F113 F114 F117 F118 F119 F120 F123 F124 F125 F126 F127 F128 F129 F132 F133 F134 F135 F136 F137" showDropDown="0" showInputMessage="0" showErrorMessage="0" allowBlank="1" type="list">
      <formula1>"Audited FS,Management Projections,Capital IQ,Bloomberg,Damodaran,Kroll,Mercer,Prospectus,Engagement Letter,Calculated,Manual"</formula1>
    </dataValidation>
    <dataValidation sqref="D117 D119"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 - Primary</t>
        </is>
      </c>
      <c r="B8" s="2" t="inlineStr">
        <is>
          <t>(from Inputs)</t>
        </is>
      </c>
      <c r="C8" s="40">
        <f>revenue_y0</f>
        <v/>
      </c>
      <c r="D8" s="41">
        <f>C8*(1+IF(ISNUMBER(revenue_growth_primary_y1),revenue_growth_primary_y1,revenue_growth_y1))</f>
        <v/>
      </c>
      <c r="E8" s="41">
        <f>D8*(1+IF(ISNUMBER(revenue_growth_primary_y2),revenue_growth_primary_y2,revenue_growth_y2))</f>
        <v/>
      </c>
      <c r="F8" s="41">
        <f>E8*(1+IF(ISNUMBER(revenue_growth_primary_y3),revenue_growth_primary_y3,revenue_growth_y3))</f>
        <v/>
      </c>
      <c r="G8" s="41">
        <f>F8*(1+IF(ISNUMBER(revenue_growth_primary_y4),revenue_growth_primary_y4,revenue_growth_y4))</f>
        <v/>
      </c>
      <c r="H8" s="41">
        <f>G8*(1+IF(ISNUMBER(revenue_growth_primary_y5),revenue_growth_primary_y5,revenue_growth_y5))</f>
        <v/>
      </c>
    </row>
    <row r="9">
      <c r="A9" s="4" t="inlineStr">
        <is>
          <t>Revenue growth (primary)</t>
        </is>
      </c>
      <c r="B9" s="2" t="inlineStr">
        <is>
          <t>%</t>
        </is>
      </c>
      <c r="D9" s="42">
        <f>IF(ISNUMBER(revenue_growth_primary_y1),revenue_growth_primary_y1,revenue_growth_y1)</f>
        <v/>
      </c>
      <c r="E9" s="42">
        <f>IF(ISNUMBER(revenue_growth_primary_y2),revenue_growth_primary_y2,revenue_growth_y2)</f>
        <v/>
      </c>
      <c r="F9" s="42">
        <f>IF(ISNUMBER(revenue_growth_primary_y3),revenue_growth_primary_y3,revenue_growth_y3)</f>
        <v/>
      </c>
      <c r="G9" s="42">
        <f>IF(ISNUMBER(revenue_growth_primary_y4),revenue_growth_primary_y4,revenue_growth_y4)</f>
        <v/>
      </c>
      <c r="H9" s="42">
        <f>IF(ISNUMBER(revenue_growth_primary_y5),revenue_growth_primary_y5,revenue_growth_y5)</f>
        <v/>
      </c>
    </row>
    <row r="10">
      <c r="A10" s="4" t="inlineStr">
        <is>
          <t>Revenue - Additional</t>
        </is>
      </c>
      <c r="B10" s="2" t="inlineStr">
        <is>
          <t>(currency × unit)</t>
        </is>
      </c>
      <c r="C10" s="43" t="n">
        <v>0</v>
      </c>
      <c r="D10" s="41">
        <f>D12-D8</f>
        <v/>
      </c>
      <c r="E10" s="41">
        <f>E12-E8</f>
        <v/>
      </c>
      <c r="F10" s="41">
        <f>F12-F8</f>
        <v/>
      </c>
      <c r="G10" s="41">
        <f>G12-G8</f>
        <v/>
      </c>
      <c r="H10" s="41">
        <f>H12-H8</f>
        <v/>
      </c>
    </row>
    <row r="11">
      <c r="A11" s="4" t="inlineStr">
        <is>
          <t>Additional Revenue growth</t>
        </is>
      </c>
      <c r="B11" s="2" t="inlineStr">
        <is>
          <t>%</t>
        </is>
      </c>
      <c r="D11" s="42">
        <f>IFERROR(D10/C10-1,"")</f>
        <v/>
      </c>
      <c r="E11" s="42">
        <f>IFERROR(E10/D10-1,"")</f>
        <v/>
      </c>
      <c r="F11" s="42">
        <f>IFERROR(F10/E10-1,"")</f>
        <v/>
      </c>
      <c r="G11" s="42">
        <f>IFERROR(G10/F10-1,"")</f>
        <v/>
      </c>
      <c r="H11" s="42">
        <f>IFERROR(H10/G10-1,"")</f>
        <v/>
      </c>
    </row>
    <row r="12">
      <c r="A12" s="4" t="inlineStr">
        <is>
          <t>Total Revenue</t>
        </is>
      </c>
      <c r="B12" s="2" t="inlineStr">
        <is>
          <t>(from Inputs)</t>
        </is>
      </c>
      <c r="C12" s="40">
        <f>revenue_y0</f>
        <v/>
      </c>
      <c r="D12" s="41">
        <f>C12*(1+revenue_growth_y1)</f>
        <v/>
      </c>
      <c r="E12" s="41">
        <f>D12*(1+revenue_growth_y2)</f>
        <v/>
      </c>
      <c r="F12" s="41">
        <f>E12*(1+revenue_growth_y3)</f>
        <v/>
      </c>
      <c r="G12" s="41">
        <f>F12*(1+revenue_growth_y4)</f>
        <v/>
      </c>
      <c r="H12" s="41">
        <f>G12*(1+revenue_growth_y5)</f>
        <v/>
      </c>
    </row>
    <row r="13">
      <c r="A13" s="4" t="inlineStr">
        <is>
          <t>Revenue growth (total)</t>
        </is>
      </c>
      <c r="B13" s="2" t="inlineStr">
        <is>
          <t>%</t>
        </is>
      </c>
      <c r="D13" s="42">
        <f>revenue_growth_y1</f>
        <v/>
      </c>
      <c r="E13" s="42">
        <f>revenue_growth_y2</f>
        <v/>
      </c>
      <c r="F13" s="42">
        <f>revenue_growth_y3</f>
        <v/>
      </c>
      <c r="G13" s="42">
        <f>revenue_growth_y4</f>
        <v/>
      </c>
      <c r="H13" s="42">
        <f>revenue_growth_y5</f>
        <v/>
      </c>
    </row>
    <row r="15">
      <c r="A15" s="3" t="inlineStr">
        <is>
          <t>Profitability</t>
        </is>
      </c>
    </row>
    <row r="16">
      <c r="A16" s="4" t="inlineStr">
        <is>
          <t>Gross profit</t>
        </is>
      </c>
      <c r="B16" s="2" t="inlineStr">
        <is>
          <t>(currency × unit)</t>
        </is>
      </c>
      <c r="C16" s="41">
        <f>IFERROR(gross_profit_y0,"")</f>
        <v/>
      </c>
      <c r="D16" s="41">
        <f>D12*gross_margin_y1</f>
        <v/>
      </c>
      <c r="E16" s="41">
        <f>E12*gross_margin_y2</f>
        <v/>
      </c>
      <c r="F16" s="41">
        <f>F12*gross_margin_y3</f>
        <v/>
      </c>
      <c r="G16" s="41">
        <f>G12*gross_margin_y4</f>
        <v/>
      </c>
      <c r="H16" s="41">
        <f>H12*gross_margin_y5</f>
        <v/>
      </c>
    </row>
    <row r="17">
      <c r="A17" s="4" t="inlineStr">
        <is>
          <t>Gross margin</t>
        </is>
      </c>
      <c r="B17" s="2" t="inlineStr">
        <is>
          <t>%</t>
        </is>
      </c>
      <c r="C17">
        <f>IFERROR(gross_profit_y0/revenue_y0,"")</f>
        <v/>
      </c>
      <c r="D17" s="42">
        <f>gross_margin_y1</f>
        <v/>
      </c>
      <c r="E17" s="42">
        <f>gross_margin_y2</f>
        <v/>
      </c>
      <c r="F17" s="42">
        <f>gross_margin_y3</f>
        <v/>
      </c>
      <c r="G17" s="42">
        <f>gross_margin_y4</f>
        <v/>
      </c>
      <c r="H17" s="42">
        <f>gross_margin_y5</f>
        <v/>
      </c>
    </row>
    <row r="18">
      <c r="A18" s="4" t="inlineStr">
        <is>
          <t>Operating expenses</t>
        </is>
      </c>
      <c r="B18" s="2" t="inlineStr">
        <is>
          <t>(currency × unit)</t>
        </is>
      </c>
      <c r="C18" s="41">
        <f>IFERROR(opex_y0,"")</f>
        <v/>
      </c>
      <c r="D18" s="41">
        <f>-(D12-D64)*opex_pct_revenue_y1+D65</f>
        <v/>
      </c>
      <c r="E18" s="41">
        <f>-(E12-E64)*opex_pct_revenue_y2+E65</f>
        <v/>
      </c>
      <c r="F18" s="41">
        <f>-(F12-F64)*opex_pct_revenue_y3+F65</f>
        <v/>
      </c>
      <c r="G18" s="41">
        <f>-(G12-G64)*opex_pct_revenue_y4+G65</f>
        <v/>
      </c>
      <c r="H18" s="41">
        <f>-(H12-H64)*opex_pct_revenue_y5+H65</f>
        <v/>
      </c>
    </row>
    <row r="19">
      <c r="A19" s="4" t="inlineStr">
        <is>
          <t>EBITDA</t>
        </is>
      </c>
      <c r="B19" s="2" t="inlineStr">
        <is>
          <t>(currency × unit)</t>
        </is>
      </c>
      <c r="C19" s="41">
        <f>IFERROR(ebitda_y0,"")</f>
        <v/>
      </c>
      <c r="D19" s="41">
        <f>D16+D18</f>
        <v/>
      </c>
      <c r="E19" s="41">
        <f>E16+E18</f>
        <v/>
      </c>
      <c r="F19" s="41">
        <f>F16+F18</f>
        <v/>
      </c>
      <c r="G19" s="41">
        <f>G16+G18</f>
        <v/>
      </c>
      <c r="H19" s="41">
        <f>H16+H18</f>
        <v/>
      </c>
    </row>
    <row r="20">
      <c r="A20" s="4" t="inlineStr">
        <is>
          <t>EBITDA margin</t>
        </is>
      </c>
      <c r="B20" s="2" t="inlineStr">
        <is>
          <t>%</t>
        </is>
      </c>
      <c r="C20">
        <f>IFERROR(ebitda_y0/revenue_y0,"")</f>
        <v/>
      </c>
      <c r="D20" s="42">
        <f>IFERROR(D19/D12,0)</f>
        <v/>
      </c>
      <c r="E20" s="42">
        <f>IFERROR(E19/E12,0)</f>
        <v/>
      </c>
      <c r="F20" s="42">
        <f>IFERROR(F19/F12,0)</f>
        <v/>
      </c>
      <c r="G20" s="42">
        <f>IFERROR(G19/G12,0)</f>
        <v/>
      </c>
      <c r="H20" s="42">
        <f>IFERROR(H19/H12,0)</f>
        <v/>
      </c>
    </row>
    <row r="21">
      <c r="A21" s="4" t="inlineStr">
        <is>
          <t>Depreciation &amp; amortization</t>
        </is>
      </c>
      <c r="B21" s="2" t="inlineStr">
        <is>
          <t>(currency × unit)</t>
        </is>
      </c>
      <c r="C21" s="41" t="n"/>
      <c r="D21" s="41">
        <f>-D12*dep_pct_revenue_y1</f>
        <v/>
      </c>
      <c r="E21" s="41">
        <f>-E12*dep_pct_revenue_y2</f>
        <v/>
      </c>
      <c r="F21" s="41">
        <f>-F12*dep_pct_revenue_y3</f>
        <v/>
      </c>
      <c r="G21" s="41">
        <f>-G12*dep_pct_revenue_y4</f>
        <v/>
      </c>
      <c r="H21" s="41">
        <f>-H12*dep_pct_revenue_y5</f>
        <v/>
      </c>
    </row>
    <row r="22">
      <c r="A22" s="4" t="inlineStr">
        <is>
          <t>EBIT</t>
        </is>
      </c>
      <c r="B22" s="2" t="inlineStr">
        <is>
          <t>(currency × unit)</t>
        </is>
      </c>
      <c r="C22" s="41">
        <f>IFERROR(ebit_y0,"")</f>
        <v/>
      </c>
      <c r="D22" s="41">
        <f>D19+D21</f>
        <v/>
      </c>
      <c r="E22" s="41">
        <f>E19+E21</f>
        <v/>
      </c>
      <c r="F22" s="41">
        <f>F19+F21</f>
        <v/>
      </c>
      <c r="G22" s="41">
        <f>G19+G21</f>
        <v/>
      </c>
      <c r="H22" s="41">
        <f>H19+H21</f>
        <v/>
      </c>
    </row>
    <row r="23">
      <c r="A23" s="4" t="inlineStr">
        <is>
          <t>EBIT margin</t>
        </is>
      </c>
      <c r="B23" s="2" t="inlineStr">
        <is>
          <t>%</t>
        </is>
      </c>
      <c r="C23">
        <f>IFERROR(ebit_y0/revenue_y0,"")</f>
        <v/>
      </c>
      <c r="D23" s="42">
        <f>IFERROR(D22/D12,0)</f>
        <v/>
      </c>
      <c r="E23" s="42">
        <f>IFERROR(E22/E12,0)</f>
        <v/>
      </c>
      <c r="F23" s="42">
        <f>IFERROR(F22/F12,0)</f>
        <v/>
      </c>
      <c r="G23" s="42">
        <f>IFERROR(G22/G12,0)</f>
        <v/>
      </c>
      <c r="H23" s="42">
        <f>IFERROR(H22/H12,0)</f>
        <v/>
      </c>
    </row>
    <row r="25">
      <c r="A25" s="3" t="inlineStr">
        <is>
          <t>Tax &amp; net income</t>
        </is>
      </c>
    </row>
    <row r="26">
      <c r="A26" s="4" t="inlineStr">
        <is>
          <t>Tax</t>
        </is>
      </c>
      <c r="B26" s="2" t="inlineStr">
        <is>
          <t>(currency × unit)</t>
        </is>
      </c>
      <c r="C26" s="41">
        <f>IFERROR(tax_y0,"")</f>
        <v/>
      </c>
      <c r="D26" s="41">
        <f>IF(ISNUMBER(tax_effective_rate),-MAX(D22,0)*tax_effective_rate,IF(EXACT(tax_type,"two_tier"),IF(D22&lt;=tax_threshold,-MAX(D22,0)*tax_rate_low,-(tax_threshold*tax_rate_low+MAX(D22-tax_threshold,0)*tax_rate_high)),-MAX(D22,0)*tax_rate_high))</f>
        <v/>
      </c>
      <c r="E26" s="41">
        <f>IF(ISNUMBER(tax_effective_rate),-MAX(E22,0)*tax_effective_rate,IF(EXACT(tax_type,"two_tier"),IF(E22&lt;=tax_threshold,-MAX(E22,0)*tax_rate_low,-(tax_threshold*tax_rate_low+MAX(E22-tax_threshold,0)*tax_rate_high)),-MAX(E22,0)*tax_rate_high))</f>
        <v/>
      </c>
      <c r="F26" s="41">
        <f>IF(ISNUMBER(tax_effective_rate),-MAX(F22,0)*tax_effective_rate,IF(EXACT(tax_type,"two_tier"),IF(F22&lt;=tax_threshold,-MAX(F22,0)*tax_rate_low,-(tax_threshold*tax_rate_low+MAX(F22-tax_threshold,0)*tax_rate_high)),-MAX(F22,0)*tax_rate_high))</f>
        <v/>
      </c>
      <c r="G26" s="41">
        <f>IF(ISNUMBER(tax_effective_rate),-MAX(G22,0)*tax_effective_rate,IF(EXACT(tax_type,"two_tier"),IF(G22&lt;=tax_threshold,-MAX(G22,0)*tax_rate_low,-(tax_threshold*tax_rate_low+MAX(G22-tax_threshold,0)*tax_rate_high)),-MAX(G22,0)*tax_rate_high))</f>
        <v/>
      </c>
      <c r="H26" s="41">
        <f>IF(ISNUMBER(tax_effective_rate),-MAX(H22,0)*tax_effective_rate,IF(EXACT(tax_type,"two_tier"),IF(H22&lt;=tax_threshold,-MAX(H22,0)*tax_rate_low,-(tax_threshold*tax_rate_low+MAX(H22-tax_threshold,0)*tax_rate_high)),-MAX(H22,0)*tax_rate_high))</f>
        <v/>
      </c>
    </row>
    <row r="27">
      <c r="A27" s="4" t="inlineStr">
        <is>
          <t>Net income</t>
        </is>
      </c>
      <c r="B27" s="2" t="inlineStr">
        <is>
          <t>(currency × unit)</t>
        </is>
      </c>
      <c r="C27" s="41">
        <f>IFERROR(net_income_y0,"")</f>
        <v/>
      </c>
      <c r="D27" s="41">
        <f>D22+D26</f>
        <v/>
      </c>
      <c r="E27" s="41">
        <f>E22+E26</f>
        <v/>
      </c>
      <c r="F27" s="41">
        <f>F22+F26</f>
        <v/>
      </c>
      <c r="G27" s="41">
        <f>G22+G26</f>
        <v/>
      </c>
      <c r="H27" s="41">
        <f>H22+H26</f>
        <v/>
      </c>
    </row>
    <row r="29">
      <c r="A29" s="3" t="inlineStr">
        <is>
          <t>Capex &amp; working capital</t>
        </is>
      </c>
    </row>
    <row r="30">
      <c r="A30" s="4" t="inlineStr">
        <is>
          <t>Capex</t>
        </is>
      </c>
      <c r="B30" s="2" t="inlineStr">
        <is>
          <t>(currency × unit)</t>
        </is>
      </c>
      <c r="C30" s="41" t="n"/>
      <c r="D30" s="41">
        <f>-D12*capex_pct_revenue_y1</f>
        <v/>
      </c>
      <c r="E30" s="41">
        <f>-E12*capex_pct_revenue_y2</f>
        <v/>
      </c>
      <c r="F30" s="41">
        <f>-F12*capex_pct_revenue_y3</f>
        <v/>
      </c>
      <c r="G30" s="41">
        <f>-G12*capex_pct_revenue_y4</f>
        <v/>
      </c>
      <c r="H30" s="41">
        <f>-H12*capex_pct_revenue_y5</f>
        <v/>
      </c>
    </row>
    <row r="31">
      <c r="A31" s="4" t="inlineStr">
        <is>
          <t>Net working capital</t>
        </is>
      </c>
      <c r="B31" s="2" t="inlineStr">
        <is>
          <t>(from Inputs)</t>
        </is>
      </c>
      <c r="C31" s="40">
        <f>nwc_y0</f>
        <v/>
      </c>
      <c r="D31" s="41">
        <f>D12*nwc_pct_sales_y1</f>
        <v/>
      </c>
      <c r="E31" s="41">
        <f>E12*nwc_pct_sales_y2</f>
        <v/>
      </c>
      <c r="F31" s="41">
        <f>F12*nwc_pct_sales_y3</f>
        <v/>
      </c>
      <c r="G31" s="41">
        <f>G12*nwc_pct_sales_y4</f>
        <v/>
      </c>
      <c r="H31" s="41">
        <f>H12*nwc_pct_sales_y5</f>
        <v/>
      </c>
    </row>
    <row r="32">
      <c r="A32" s="4" t="inlineStr">
        <is>
          <t>Δ Working capital</t>
        </is>
      </c>
      <c r="B32" s="2" t="inlineStr">
        <is>
          <t>(currency × unit)</t>
        </is>
      </c>
      <c r="C32" s="41" t="n"/>
      <c r="D32" s="41">
        <f>-(D31-C31)</f>
        <v/>
      </c>
      <c r="E32" s="41">
        <f>-(E31-D31)</f>
        <v/>
      </c>
      <c r="F32" s="41">
        <f>-(F31-E31)</f>
        <v/>
      </c>
      <c r="G32" s="41">
        <f>-(G31-F31)</f>
        <v/>
      </c>
      <c r="H32" s="41">
        <f>-(H31-G31)</f>
        <v/>
      </c>
    </row>
    <row r="34">
      <c r="A34" s="3" t="inlineStr">
        <is>
          <t>FCFF construction</t>
        </is>
      </c>
    </row>
    <row r="35">
      <c r="A35" s="4" t="inlineStr">
        <is>
          <t>EBIT</t>
        </is>
      </c>
      <c r="B35" s="2" t="inlineStr">
        <is>
          <t>(currency × unit)</t>
        </is>
      </c>
      <c r="C35" s="41" t="n"/>
      <c r="D35" s="41">
        <f>D22</f>
        <v/>
      </c>
      <c r="E35" s="41">
        <f>E22</f>
        <v/>
      </c>
      <c r="F35" s="41">
        <f>F22</f>
        <v/>
      </c>
      <c r="G35" s="41">
        <f>G22</f>
        <v/>
      </c>
      <c r="H35" s="41">
        <f>H22</f>
        <v/>
      </c>
    </row>
    <row r="36">
      <c r="A36" s="4" t="inlineStr">
        <is>
          <t>Less: Tax on EBIT</t>
        </is>
      </c>
      <c r="B36" s="2" t="inlineStr">
        <is>
          <t>(currency × unit)</t>
        </is>
      </c>
      <c r="C36" s="41" t="n"/>
      <c r="D36" s="41">
        <f>D26</f>
        <v/>
      </c>
      <c r="E36" s="41">
        <f>E26</f>
        <v/>
      </c>
      <c r="F36" s="41">
        <f>F26</f>
        <v/>
      </c>
      <c r="G36" s="41">
        <f>G26</f>
        <v/>
      </c>
      <c r="H36" s="41">
        <f>H26</f>
        <v/>
      </c>
    </row>
    <row r="37">
      <c r="A37" s="4" t="inlineStr">
        <is>
          <t>Add: Depreciation</t>
        </is>
      </c>
      <c r="B37" s="2" t="inlineStr">
        <is>
          <t>(currency × unit)</t>
        </is>
      </c>
      <c r="C37" s="41" t="n"/>
      <c r="D37" s="41">
        <f>-D21</f>
        <v/>
      </c>
      <c r="E37" s="41">
        <f>-E21</f>
        <v/>
      </c>
      <c r="F37" s="41">
        <f>-F21</f>
        <v/>
      </c>
      <c r="G37" s="41">
        <f>-G21</f>
        <v/>
      </c>
      <c r="H37" s="41">
        <f>-H21</f>
        <v/>
      </c>
    </row>
    <row r="38">
      <c r="A38" s="4" t="inlineStr">
        <is>
          <t>Less: Capex</t>
        </is>
      </c>
      <c r="B38" s="2" t="inlineStr">
        <is>
          <t>(currency × unit)</t>
        </is>
      </c>
      <c r="C38" s="41" t="n"/>
      <c r="D38" s="41">
        <f>D30</f>
        <v/>
      </c>
      <c r="E38" s="41">
        <f>E30</f>
        <v/>
      </c>
      <c r="F38" s="41">
        <f>F30</f>
        <v/>
      </c>
      <c r="G38" s="41">
        <f>G30</f>
        <v/>
      </c>
      <c r="H38" s="41">
        <f>H30</f>
        <v/>
      </c>
    </row>
    <row r="39">
      <c r="A39" s="4" t="inlineStr">
        <is>
          <t>Less: Δ Working capital</t>
        </is>
      </c>
      <c r="B39" s="2" t="inlineStr">
        <is>
          <t>(currency × unit)</t>
        </is>
      </c>
      <c r="C39" s="41" t="n"/>
      <c r="D39" s="41">
        <f>D32</f>
        <v/>
      </c>
      <c r="E39" s="41">
        <f>E32</f>
        <v/>
      </c>
      <c r="F39" s="41">
        <f>F32</f>
        <v/>
      </c>
      <c r="G39" s="41">
        <f>G32</f>
        <v/>
      </c>
      <c r="H39" s="41">
        <f>H32</f>
        <v/>
      </c>
    </row>
    <row r="40">
      <c r="A40" s="44" t="inlineStr">
        <is>
          <t>Free Cash Flow to Firm (FCFF)</t>
        </is>
      </c>
      <c r="B40" s="2" t="inlineStr">
        <is>
          <t>(currency × unit)</t>
        </is>
      </c>
      <c r="C40" s="41" t="n"/>
      <c r="D40" s="45">
        <f>SUM(D35:D39)</f>
        <v/>
      </c>
      <c r="E40" s="45">
        <f>SUM(E35:E39)</f>
        <v/>
      </c>
      <c r="F40" s="45">
        <f>SUM(F35:F39)</f>
        <v/>
      </c>
      <c r="G40" s="45">
        <f>SUM(G35:G39)</f>
        <v/>
      </c>
      <c r="H40" s="45">
        <f>SUM(H35:H39)</f>
        <v/>
      </c>
    </row>
    <row r="42">
      <c r="A42" s="3" t="inlineStr">
        <is>
          <t>Revenue streams — per-segment breakdown</t>
        </is>
      </c>
    </row>
    <row r="43">
      <c r="A43" s="2" t="inlineStr">
        <is>
          <t>Driven by the Inputs 'Revenue segments' table. Unused slots stay blank. 'Direct expenses' uses the stream's own Opex% when provided (carved out of the top-level opex base), otherwise an allocation at the top-level ratio.</t>
        </is>
      </c>
    </row>
    <row r="44">
      <c r="A44" s="4">
        <f>IF(INDEX(segments_table,1,1)="","(segment slot 1 — unused)","Revenue — "&amp;INDEX(segments_table,1,1))</f>
        <v/>
      </c>
      <c r="C44" s="41">
        <f>IF(INDEX(segments_table,1,1)="",0,IF(N(INDEX(segments_table,1,2))=0,N(INDEX(segments_table,1,3)),0))</f>
        <v/>
      </c>
      <c r="D44" s="41">
        <f>IF(INDEX(segments_table,1,1)="",0,IF(1&lt;N(INDEX(segments_table,1,2)),0,IF(1=N(INDEX(segments_table,1,2)),N(INDEX(segments_table,1,3)),C44*(1+N(INDEX(segments_table,1,3+(1-N(INDEX(segments_table,1,2)))))))))</f>
        <v/>
      </c>
      <c r="E44" s="41">
        <f>IF(INDEX(segments_table,1,1)="",0,IF(2&lt;N(INDEX(segments_table,1,2)),0,IF(2=N(INDEX(segments_table,1,2)),N(INDEX(segments_table,1,3)),D44*(1+N(INDEX(segments_table,1,3+(2-N(INDEX(segments_table,1,2)))))))))</f>
        <v/>
      </c>
      <c r="F44" s="41">
        <f>IF(INDEX(segments_table,1,1)="",0,IF(3&lt;N(INDEX(segments_table,1,2)),0,IF(3=N(INDEX(segments_table,1,2)),N(INDEX(segments_table,1,3)),E44*(1+N(INDEX(segments_table,1,3+(3-N(INDEX(segments_table,1,2)))))))))</f>
        <v/>
      </c>
      <c r="G44" s="41">
        <f>IF(INDEX(segments_table,1,1)="",0,IF(4&lt;N(INDEX(segments_table,1,2)),0,IF(4=N(INDEX(segments_table,1,2)),N(INDEX(segments_table,1,3)),F44*(1+N(INDEX(segments_table,1,3+(4-N(INDEX(segments_table,1,2)))))))))</f>
        <v/>
      </c>
      <c r="H44" s="41">
        <f>IF(INDEX(segments_table,1,1)="",0,IF(5&lt;N(INDEX(segments_table,1,2)),0,IF(5=N(INDEX(segments_table,1,2)),N(INDEX(segments_table,1,3)),G44*(1+N(INDEX(segments_table,1,3+(5-N(INDEX(segments_table,1,2)))))))))</f>
        <v/>
      </c>
    </row>
    <row r="45">
      <c r="A45" s="4">
        <f>IF(INDEX(segments_table,1,1)="","","COGS — "&amp;INDEX(segments_table,1,1))</f>
        <v/>
      </c>
      <c r="C45" s="41" t="n"/>
      <c r="D45" s="41">
        <f>IF(INDEX(segments_table,1,1)="","",-D44*(1-N(INDEX(segments_table,1,MIN(9+(1-N(INDEX(segments_table,1,2))),13)))))</f>
        <v/>
      </c>
      <c r="E45" s="41">
        <f>IF(INDEX(segments_table,1,1)="","",-E44*(1-N(INDEX(segments_table,1,MIN(9+(2-N(INDEX(segments_table,1,2))),13)))))</f>
        <v/>
      </c>
      <c r="F45" s="41">
        <f>IF(INDEX(segments_table,1,1)="","",-F44*(1-N(INDEX(segments_table,1,MIN(9+(3-N(INDEX(segments_table,1,2))),13)))))</f>
        <v/>
      </c>
      <c r="G45" s="41">
        <f>IF(INDEX(segments_table,1,1)="","",-G44*(1-N(INDEX(segments_table,1,MIN(9+(4-N(INDEX(segments_table,1,2))),13)))))</f>
        <v/>
      </c>
      <c r="H45" s="41">
        <f>IF(INDEX(segments_table,1,1)="","",-H44*(1-N(INDEX(segments_table,1,MIN(9+(5-N(INDEX(segments_table,1,2))),13)))))</f>
        <v/>
      </c>
    </row>
    <row r="46">
      <c r="A46" s="4">
        <f>IF(INDEX(segments_table,1,1)="","",IF(COUNT(INDEX(segments_table,1,14):INDEX(segments_table,1,18))&gt;0,"Direct expenses — "&amp;INDEX(segments_table,1,1),"Direct expenses (allocated) — "&amp;INDEX(segments_table,1,1)))</f>
        <v/>
      </c>
      <c r="C46" s="41" t="n"/>
      <c r="D46" s="41">
        <f>IF(INDEX(segments_table,1,1)="","",IF(COUNT(INDEX(segments_table,1,14):INDEX(segments_table,1,18))&gt;0,-D44*N(INDEX(segments_table,1,MIN(14+(1-N(INDEX(segments_table,1,2))),18))),-D44*opex_pct_revenue_y1))</f>
        <v/>
      </c>
      <c r="E46" s="41">
        <f>IF(INDEX(segments_table,1,1)="","",IF(COUNT(INDEX(segments_table,1,14):INDEX(segments_table,1,18))&gt;0,-E44*N(INDEX(segments_table,1,MIN(14+(2-N(INDEX(segments_table,1,2))),18))),-E44*opex_pct_revenue_y2))</f>
        <v/>
      </c>
      <c r="F46" s="41">
        <f>IF(INDEX(segments_table,1,1)="","",IF(COUNT(INDEX(segments_table,1,14):INDEX(segments_table,1,18))&gt;0,-F44*N(INDEX(segments_table,1,MIN(14+(3-N(INDEX(segments_table,1,2))),18))),-F44*opex_pct_revenue_y3))</f>
        <v/>
      </c>
      <c r="G46" s="41">
        <f>IF(INDEX(segments_table,1,1)="","",IF(COUNT(INDEX(segments_table,1,14):INDEX(segments_table,1,18))&gt;0,-G44*N(INDEX(segments_table,1,MIN(14+(4-N(INDEX(segments_table,1,2))),18))),-G44*opex_pct_revenue_y4))</f>
        <v/>
      </c>
      <c r="H46" s="41">
        <f>IF(INDEX(segments_table,1,1)="","",IF(COUNT(INDEX(segments_table,1,14):INDEX(segments_table,1,18))&gt;0,-H44*N(INDEX(segments_table,1,MIN(14+(5-N(INDEX(segments_table,1,2))),18))),-H44*opex_pct_revenue_y5))</f>
        <v/>
      </c>
    </row>
    <row r="48">
      <c r="A48" s="4">
        <f>IF(INDEX(segments_table,2,1)="","(segment slot 2 — unused)","Revenue — "&amp;INDEX(segments_table,2,1))</f>
        <v/>
      </c>
      <c r="C48" s="41">
        <f>IF(INDEX(segments_table,2,1)="",0,IF(N(INDEX(segments_table,2,2))=0,N(INDEX(segments_table,2,3)),0))</f>
        <v/>
      </c>
      <c r="D48" s="41">
        <f>IF(INDEX(segments_table,2,1)="",0,IF(1&lt;N(INDEX(segments_table,2,2)),0,IF(1=N(INDEX(segments_table,2,2)),N(INDEX(segments_table,2,3)),C48*(1+N(INDEX(segments_table,2,3+(1-N(INDEX(segments_table,2,2)))))))))</f>
        <v/>
      </c>
      <c r="E48" s="41">
        <f>IF(INDEX(segments_table,2,1)="",0,IF(2&lt;N(INDEX(segments_table,2,2)),0,IF(2=N(INDEX(segments_table,2,2)),N(INDEX(segments_table,2,3)),D48*(1+N(INDEX(segments_table,2,3+(2-N(INDEX(segments_table,2,2)))))))))</f>
        <v/>
      </c>
      <c r="F48" s="41">
        <f>IF(INDEX(segments_table,2,1)="",0,IF(3&lt;N(INDEX(segments_table,2,2)),0,IF(3=N(INDEX(segments_table,2,2)),N(INDEX(segments_table,2,3)),E48*(1+N(INDEX(segments_table,2,3+(3-N(INDEX(segments_table,2,2)))))))))</f>
        <v/>
      </c>
      <c r="G48" s="41">
        <f>IF(INDEX(segments_table,2,1)="",0,IF(4&lt;N(INDEX(segments_table,2,2)),0,IF(4=N(INDEX(segments_table,2,2)),N(INDEX(segments_table,2,3)),F48*(1+N(INDEX(segments_table,2,3+(4-N(INDEX(segments_table,2,2)))))))))</f>
        <v/>
      </c>
      <c r="H48" s="41">
        <f>IF(INDEX(segments_table,2,1)="",0,IF(5&lt;N(INDEX(segments_table,2,2)),0,IF(5=N(INDEX(segments_table,2,2)),N(INDEX(segments_table,2,3)),G48*(1+N(INDEX(segments_table,2,3+(5-N(INDEX(segments_table,2,2)))))))))</f>
        <v/>
      </c>
    </row>
    <row r="49">
      <c r="A49" s="4">
        <f>IF(INDEX(segments_table,2,1)="","","COGS — "&amp;INDEX(segments_table,2,1))</f>
        <v/>
      </c>
      <c r="C49" s="41" t="n"/>
      <c r="D49" s="41">
        <f>IF(INDEX(segments_table,2,1)="","",-D48*(1-N(INDEX(segments_table,2,MIN(9+(1-N(INDEX(segments_table,2,2))),13)))))</f>
        <v/>
      </c>
      <c r="E49" s="41">
        <f>IF(INDEX(segments_table,2,1)="","",-E48*(1-N(INDEX(segments_table,2,MIN(9+(2-N(INDEX(segments_table,2,2))),13)))))</f>
        <v/>
      </c>
      <c r="F49" s="41">
        <f>IF(INDEX(segments_table,2,1)="","",-F48*(1-N(INDEX(segments_table,2,MIN(9+(3-N(INDEX(segments_table,2,2))),13)))))</f>
        <v/>
      </c>
      <c r="G49" s="41">
        <f>IF(INDEX(segments_table,2,1)="","",-G48*(1-N(INDEX(segments_table,2,MIN(9+(4-N(INDEX(segments_table,2,2))),13)))))</f>
        <v/>
      </c>
      <c r="H49" s="41">
        <f>IF(INDEX(segments_table,2,1)="","",-H48*(1-N(INDEX(segments_table,2,MIN(9+(5-N(INDEX(segments_table,2,2))),13)))))</f>
        <v/>
      </c>
    </row>
    <row r="50">
      <c r="A50" s="4">
        <f>IF(INDEX(segments_table,2,1)="","",IF(COUNT(INDEX(segments_table,2,14):INDEX(segments_table,2,18))&gt;0,"Direct expenses — "&amp;INDEX(segments_table,2,1),"Direct expenses (allocated) — "&amp;INDEX(segments_table,2,1)))</f>
        <v/>
      </c>
      <c r="C50" s="41" t="n"/>
      <c r="D50" s="41">
        <f>IF(INDEX(segments_table,2,1)="","",IF(COUNT(INDEX(segments_table,2,14):INDEX(segments_table,2,18))&gt;0,-D48*N(INDEX(segments_table,2,MIN(14+(1-N(INDEX(segments_table,2,2))),18))),-D48*opex_pct_revenue_y1))</f>
        <v/>
      </c>
      <c r="E50" s="41">
        <f>IF(INDEX(segments_table,2,1)="","",IF(COUNT(INDEX(segments_table,2,14):INDEX(segments_table,2,18))&gt;0,-E48*N(INDEX(segments_table,2,MIN(14+(2-N(INDEX(segments_table,2,2))),18))),-E48*opex_pct_revenue_y2))</f>
        <v/>
      </c>
      <c r="F50" s="41">
        <f>IF(INDEX(segments_table,2,1)="","",IF(COUNT(INDEX(segments_table,2,14):INDEX(segments_table,2,18))&gt;0,-F48*N(INDEX(segments_table,2,MIN(14+(3-N(INDEX(segments_table,2,2))),18))),-F48*opex_pct_revenue_y3))</f>
        <v/>
      </c>
      <c r="G50" s="41">
        <f>IF(INDEX(segments_table,2,1)="","",IF(COUNT(INDEX(segments_table,2,14):INDEX(segments_table,2,18))&gt;0,-G48*N(INDEX(segments_table,2,MIN(14+(4-N(INDEX(segments_table,2,2))),18))),-G48*opex_pct_revenue_y4))</f>
        <v/>
      </c>
      <c r="H50" s="41">
        <f>IF(INDEX(segments_table,2,1)="","",IF(COUNT(INDEX(segments_table,2,14):INDEX(segments_table,2,18))&gt;0,-H48*N(INDEX(segments_table,2,MIN(14+(5-N(INDEX(segments_table,2,2))),18))),-H48*opex_pct_revenue_y5))</f>
        <v/>
      </c>
    </row>
    <row r="52">
      <c r="A52" s="4">
        <f>IF(INDEX(segments_table,3,1)="","(segment slot 3 — unused)","Revenue — "&amp;INDEX(segments_table,3,1))</f>
        <v/>
      </c>
      <c r="C52" s="41">
        <f>IF(INDEX(segments_table,3,1)="",0,IF(N(INDEX(segments_table,3,2))=0,N(INDEX(segments_table,3,3)),0))</f>
        <v/>
      </c>
      <c r="D52" s="41">
        <f>IF(INDEX(segments_table,3,1)="",0,IF(1&lt;N(INDEX(segments_table,3,2)),0,IF(1=N(INDEX(segments_table,3,2)),N(INDEX(segments_table,3,3)),C52*(1+N(INDEX(segments_table,3,3+(1-N(INDEX(segments_table,3,2)))))))))</f>
        <v/>
      </c>
      <c r="E52" s="41">
        <f>IF(INDEX(segments_table,3,1)="",0,IF(2&lt;N(INDEX(segments_table,3,2)),0,IF(2=N(INDEX(segments_table,3,2)),N(INDEX(segments_table,3,3)),D52*(1+N(INDEX(segments_table,3,3+(2-N(INDEX(segments_table,3,2)))))))))</f>
        <v/>
      </c>
      <c r="F52" s="41">
        <f>IF(INDEX(segments_table,3,1)="",0,IF(3&lt;N(INDEX(segments_table,3,2)),0,IF(3=N(INDEX(segments_table,3,2)),N(INDEX(segments_table,3,3)),E52*(1+N(INDEX(segments_table,3,3+(3-N(INDEX(segments_table,3,2)))))))))</f>
        <v/>
      </c>
      <c r="G52" s="41">
        <f>IF(INDEX(segments_table,3,1)="",0,IF(4&lt;N(INDEX(segments_table,3,2)),0,IF(4=N(INDEX(segments_table,3,2)),N(INDEX(segments_table,3,3)),F52*(1+N(INDEX(segments_table,3,3+(4-N(INDEX(segments_table,3,2)))))))))</f>
        <v/>
      </c>
      <c r="H52" s="41">
        <f>IF(INDEX(segments_table,3,1)="",0,IF(5&lt;N(INDEX(segments_table,3,2)),0,IF(5=N(INDEX(segments_table,3,2)),N(INDEX(segments_table,3,3)),G52*(1+N(INDEX(segments_table,3,3+(5-N(INDEX(segments_table,3,2)))))))))</f>
        <v/>
      </c>
    </row>
    <row r="53">
      <c r="A53" s="4">
        <f>IF(INDEX(segments_table,3,1)="","","COGS — "&amp;INDEX(segments_table,3,1))</f>
        <v/>
      </c>
      <c r="C53" s="41" t="n"/>
      <c r="D53" s="41">
        <f>IF(INDEX(segments_table,3,1)="","",-D52*(1-N(INDEX(segments_table,3,MIN(9+(1-N(INDEX(segments_table,3,2))),13)))))</f>
        <v/>
      </c>
      <c r="E53" s="41">
        <f>IF(INDEX(segments_table,3,1)="","",-E52*(1-N(INDEX(segments_table,3,MIN(9+(2-N(INDEX(segments_table,3,2))),13)))))</f>
        <v/>
      </c>
      <c r="F53" s="41">
        <f>IF(INDEX(segments_table,3,1)="","",-F52*(1-N(INDEX(segments_table,3,MIN(9+(3-N(INDEX(segments_table,3,2))),13)))))</f>
        <v/>
      </c>
      <c r="G53" s="41">
        <f>IF(INDEX(segments_table,3,1)="","",-G52*(1-N(INDEX(segments_table,3,MIN(9+(4-N(INDEX(segments_table,3,2))),13)))))</f>
        <v/>
      </c>
      <c r="H53" s="41">
        <f>IF(INDEX(segments_table,3,1)="","",-H52*(1-N(INDEX(segments_table,3,MIN(9+(5-N(INDEX(segments_table,3,2))),13)))))</f>
        <v/>
      </c>
    </row>
    <row r="54">
      <c r="A54" s="4">
        <f>IF(INDEX(segments_table,3,1)="","",IF(COUNT(INDEX(segments_table,3,14):INDEX(segments_table,3,18))&gt;0,"Direct expenses — "&amp;INDEX(segments_table,3,1),"Direct expenses (allocated) — "&amp;INDEX(segments_table,3,1)))</f>
        <v/>
      </c>
      <c r="C54" s="41" t="n"/>
      <c r="D54" s="41">
        <f>IF(INDEX(segments_table,3,1)="","",IF(COUNT(INDEX(segments_table,3,14):INDEX(segments_table,3,18))&gt;0,-D52*N(INDEX(segments_table,3,MIN(14+(1-N(INDEX(segments_table,3,2))),18))),-D52*opex_pct_revenue_y1))</f>
        <v/>
      </c>
      <c r="E54" s="41">
        <f>IF(INDEX(segments_table,3,1)="","",IF(COUNT(INDEX(segments_table,3,14):INDEX(segments_table,3,18))&gt;0,-E52*N(INDEX(segments_table,3,MIN(14+(2-N(INDEX(segments_table,3,2))),18))),-E52*opex_pct_revenue_y2))</f>
        <v/>
      </c>
      <c r="F54" s="41">
        <f>IF(INDEX(segments_table,3,1)="","",IF(COUNT(INDEX(segments_table,3,14):INDEX(segments_table,3,18))&gt;0,-F52*N(INDEX(segments_table,3,MIN(14+(3-N(INDEX(segments_table,3,2))),18))),-F52*opex_pct_revenue_y3))</f>
        <v/>
      </c>
      <c r="G54" s="41">
        <f>IF(INDEX(segments_table,3,1)="","",IF(COUNT(INDEX(segments_table,3,14):INDEX(segments_table,3,18))&gt;0,-G52*N(INDEX(segments_table,3,MIN(14+(4-N(INDEX(segments_table,3,2))),18))),-G52*opex_pct_revenue_y4))</f>
        <v/>
      </c>
      <c r="H54" s="41">
        <f>IF(INDEX(segments_table,3,1)="","",IF(COUNT(INDEX(segments_table,3,14):INDEX(segments_table,3,18))&gt;0,-H52*N(INDEX(segments_table,3,MIN(14+(5-N(INDEX(segments_table,3,2))),18))),-H52*opex_pct_revenue_y5))</f>
        <v/>
      </c>
    </row>
    <row r="56">
      <c r="A56" s="4">
        <f>IF(INDEX(segments_table,4,1)="","(segment slot 4 — unused)","Revenue — "&amp;INDEX(segments_table,4,1))</f>
        <v/>
      </c>
      <c r="C56" s="41">
        <f>IF(INDEX(segments_table,4,1)="",0,IF(N(INDEX(segments_table,4,2))=0,N(INDEX(segments_table,4,3)),0))</f>
        <v/>
      </c>
      <c r="D56" s="41">
        <f>IF(INDEX(segments_table,4,1)="",0,IF(1&lt;N(INDEX(segments_table,4,2)),0,IF(1=N(INDEX(segments_table,4,2)),N(INDEX(segments_table,4,3)),C56*(1+N(INDEX(segments_table,4,3+(1-N(INDEX(segments_table,4,2)))))))))</f>
        <v/>
      </c>
      <c r="E56" s="41">
        <f>IF(INDEX(segments_table,4,1)="",0,IF(2&lt;N(INDEX(segments_table,4,2)),0,IF(2=N(INDEX(segments_table,4,2)),N(INDEX(segments_table,4,3)),D56*(1+N(INDEX(segments_table,4,3+(2-N(INDEX(segments_table,4,2)))))))))</f>
        <v/>
      </c>
      <c r="F56" s="41">
        <f>IF(INDEX(segments_table,4,1)="",0,IF(3&lt;N(INDEX(segments_table,4,2)),0,IF(3=N(INDEX(segments_table,4,2)),N(INDEX(segments_table,4,3)),E56*(1+N(INDEX(segments_table,4,3+(3-N(INDEX(segments_table,4,2)))))))))</f>
        <v/>
      </c>
      <c r="G56" s="41">
        <f>IF(INDEX(segments_table,4,1)="",0,IF(4&lt;N(INDEX(segments_table,4,2)),0,IF(4=N(INDEX(segments_table,4,2)),N(INDEX(segments_table,4,3)),F56*(1+N(INDEX(segments_table,4,3+(4-N(INDEX(segments_table,4,2)))))))))</f>
        <v/>
      </c>
      <c r="H56" s="41">
        <f>IF(INDEX(segments_table,4,1)="",0,IF(5&lt;N(INDEX(segments_table,4,2)),0,IF(5=N(INDEX(segments_table,4,2)),N(INDEX(segments_table,4,3)),G56*(1+N(INDEX(segments_table,4,3+(5-N(INDEX(segments_table,4,2)))))))))</f>
        <v/>
      </c>
    </row>
    <row r="57">
      <c r="A57" s="4">
        <f>IF(INDEX(segments_table,4,1)="","","COGS — "&amp;INDEX(segments_table,4,1))</f>
        <v/>
      </c>
      <c r="C57" s="41" t="n"/>
      <c r="D57" s="41">
        <f>IF(INDEX(segments_table,4,1)="","",-D56*(1-N(INDEX(segments_table,4,MIN(9+(1-N(INDEX(segments_table,4,2))),13)))))</f>
        <v/>
      </c>
      <c r="E57" s="41">
        <f>IF(INDEX(segments_table,4,1)="","",-E56*(1-N(INDEX(segments_table,4,MIN(9+(2-N(INDEX(segments_table,4,2))),13)))))</f>
        <v/>
      </c>
      <c r="F57" s="41">
        <f>IF(INDEX(segments_table,4,1)="","",-F56*(1-N(INDEX(segments_table,4,MIN(9+(3-N(INDEX(segments_table,4,2))),13)))))</f>
        <v/>
      </c>
      <c r="G57" s="41">
        <f>IF(INDEX(segments_table,4,1)="","",-G56*(1-N(INDEX(segments_table,4,MIN(9+(4-N(INDEX(segments_table,4,2))),13)))))</f>
        <v/>
      </c>
      <c r="H57" s="41">
        <f>IF(INDEX(segments_table,4,1)="","",-H56*(1-N(INDEX(segments_table,4,MIN(9+(5-N(INDEX(segments_table,4,2))),13)))))</f>
        <v/>
      </c>
    </row>
    <row r="58">
      <c r="A58" s="4">
        <f>IF(INDEX(segments_table,4,1)="","",IF(COUNT(INDEX(segments_table,4,14):INDEX(segments_table,4,18))&gt;0,"Direct expenses — "&amp;INDEX(segments_table,4,1),"Direct expenses (allocated) — "&amp;INDEX(segments_table,4,1)))</f>
        <v/>
      </c>
      <c r="C58" s="41" t="n"/>
      <c r="D58" s="41">
        <f>IF(INDEX(segments_table,4,1)="","",IF(COUNT(INDEX(segments_table,4,14):INDEX(segments_table,4,18))&gt;0,-D56*N(INDEX(segments_table,4,MIN(14+(1-N(INDEX(segments_table,4,2))),18))),-D56*opex_pct_revenue_y1))</f>
        <v/>
      </c>
      <c r="E58" s="41">
        <f>IF(INDEX(segments_table,4,1)="","",IF(COUNT(INDEX(segments_table,4,14):INDEX(segments_table,4,18))&gt;0,-E56*N(INDEX(segments_table,4,MIN(14+(2-N(INDEX(segments_table,4,2))),18))),-E56*opex_pct_revenue_y2))</f>
        <v/>
      </c>
      <c r="F58" s="41">
        <f>IF(INDEX(segments_table,4,1)="","",IF(COUNT(INDEX(segments_table,4,14):INDEX(segments_table,4,18))&gt;0,-F56*N(INDEX(segments_table,4,MIN(14+(3-N(INDEX(segments_table,4,2))),18))),-F56*opex_pct_revenue_y3))</f>
        <v/>
      </c>
      <c r="G58" s="41">
        <f>IF(INDEX(segments_table,4,1)="","",IF(COUNT(INDEX(segments_table,4,14):INDEX(segments_table,4,18))&gt;0,-G56*N(INDEX(segments_table,4,MIN(14+(4-N(INDEX(segments_table,4,2))),18))),-G56*opex_pct_revenue_y4))</f>
        <v/>
      </c>
      <c r="H58" s="41">
        <f>IF(INDEX(segments_table,4,1)="","",IF(COUNT(INDEX(segments_table,4,14):INDEX(segments_table,4,18))&gt;0,-H56*N(INDEX(segments_table,4,MIN(14+(5-N(INDEX(segments_table,4,2))),18))),-H56*opex_pct_revenue_y5))</f>
        <v/>
      </c>
    </row>
    <row r="60">
      <c r="A60" s="4">
        <f>IF(INDEX(segments_table,5,1)="","(segment slot 5 — unused)","Revenue — "&amp;INDEX(segments_table,5,1))</f>
        <v/>
      </c>
      <c r="C60" s="41">
        <f>IF(INDEX(segments_table,5,1)="",0,IF(N(INDEX(segments_table,5,2))=0,N(INDEX(segments_table,5,3)),0))</f>
        <v/>
      </c>
      <c r="D60" s="41">
        <f>IF(INDEX(segments_table,5,1)="",0,IF(1&lt;N(INDEX(segments_table,5,2)),0,IF(1=N(INDEX(segments_table,5,2)),N(INDEX(segments_table,5,3)),C60*(1+N(INDEX(segments_table,5,3+(1-N(INDEX(segments_table,5,2)))))))))</f>
        <v/>
      </c>
      <c r="E60" s="41">
        <f>IF(INDEX(segments_table,5,1)="",0,IF(2&lt;N(INDEX(segments_table,5,2)),0,IF(2=N(INDEX(segments_table,5,2)),N(INDEX(segments_table,5,3)),D60*(1+N(INDEX(segments_table,5,3+(2-N(INDEX(segments_table,5,2)))))))))</f>
        <v/>
      </c>
      <c r="F60" s="41">
        <f>IF(INDEX(segments_table,5,1)="",0,IF(3&lt;N(INDEX(segments_table,5,2)),0,IF(3=N(INDEX(segments_table,5,2)),N(INDEX(segments_table,5,3)),E60*(1+N(INDEX(segments_table,5,3+(3-N(INDEX(segments_table,5,2)))))))))</f>
        <v/>
      </c>
      <c r="G60" s="41">
        <f>IF(INDEX(segments_table,5,1)="",0,IF(4&lt;N(INDEX(segments_table,5,2)),0,IF(4=N(INDEX(segments_table,5,2)),N(INDEX(segments_table,5,3)),F60*(1+N(INDEX(segments_table,5,3+(4-N(INDEX(segments_table,5,2)))))))))</f>
        <v/>
      </c>
      <c r="H60" s="41">
        <f>IF(INDEX(segments_table,5,1)="",0,IF(5&lt;N(INDEX(segments_table,5,2)),0,IF(5=N(INDEX(segments_table,5,2)),N(INDEX(segments_table,5,3)),G60*(1+N(INDEX(segments_table,5,3+(5-N(INDEX(segments_table,5,2)))))))))</f>
        <v/>
      </c>
    </row>
    <row r="61">
      <c r="A61" s="4">
        <f>IF(INDEX(segments_table,5,1)="","","COGS — "&amp;INDEX(segments_table,5,1))</f>
        <v/>
      </c>
      <c r="C61" s="41" t="n"/>
      <c r="D61" s="41">
        <f>IF(INDEX(segments_table,5,1)="","",-D60*(1-N(INDEX(segments_table,5,MIN(9+(1-N(INDEX(segments_table,5,2))),13)))))</f>
        <v/>
      </c>
      <c r="E61" s="41">
        <f>IF(INDEX(segments_table,5,1)="","",-E60*(1-N(INDEX(segments_table,5,MIN(9+(2-N(INDEX(segments_table,5,2))),13)))))</f>
        <v/>
      </c>
      <c r="F61" s="41">
        <f>IF(INDEX(segments_table,5,1)="","",-F60*(1-N(INDEX(segments_table,5,MIN(9+(3-N(INDEX(segments_table,5,2))),13)))))</f>
        <v/>
      </c>
      <c r="G61" s="41">
        <f>IF(INDEX(segments_table,5,1)="","",-G60*(1-N(INDEX(segments_table,5,MIN(9+(4-N(INDEX(segments_table,5,2))),13)))))</f>
        <v/>
      </c>
      <c r="H61" s="41">
        <f>IF(INDEX(segments_table,5,1)="","",-H60*(1-N(INDEX(segments_table,5,MIN(9+(5-N(INDEX(segments_table,5,2))),13)))))</f>
        <v/>
      </c>
    </row>
    <row r="62">
      <c r="A62" s="4">
        <f>IF(INDEX(segments_table,5,1)="","",IF(COUNT(INDEX(segments_table,5,14):INDEX(segments_table,5,18))&gt;0,"Direct expenses — "&amp;INDEX(segments_table,5,1),"Direct expenses (allocated) — "&amp;INDEX(segments_table,5,1)))</f>
        <v/>
      </c>
      <c r="C62" s="41" t="n"/>
      <c r="D62" s="41">
        <f>IF(INDEX(segments_table,5,1)="","",IF(COUNT(INDEX(segments_table,5,14):INDEX(segments_table,5,18))&gt;0,-D60*N(INDEX(segments_table,5,MIN(14+(1-N(INDEX(segments_table,5,2))),18))),-D60*opex_pct_revenue_y1))</f>
        <v/>
      </c>
      <c r="E62" s="41">
        <f>IF(INDEX(segments_table,5,1)="","",IF(COUNT(INDEX(segments_table,5,14):INDEX(segments_table,5,18))&gt;0,-E60*N(INDEX(segments_table,5,MIN(14+(2-N(INDEX(segments_table,5,2))),18))),-E60*opex_pct_revenue_y2))</f>
        <v/>
      </c>
      <c r="F62" s="41">
        <f>IF(INDEX(segments_table,5,1)="","",IF(COUNT(INDEX(segments_table,5,14):INDEX(segments_table,5,18))&gt;0,-F60*N(INDEX(segments_table,5,MIN(14+(3-N(INDEX(segments_table,5,2))),18))),-F60*opex_pct_revenue_y3))</f>
        <v/>
      </c>
      <c r="G62" s="41">
        <f>IF(INDEX(segments_table,5,1)="","",IF(COUNT(INDEX(segments_table,5,14):INDEX(segments_table,5,18))&gt;0,-G60*N(INDEX(segments_table,5,MIN(14+(4-N(INDEX(segments_table,5,2))),18))),-G60*opex_pct_revenue_y4))</f>
        <v/>
      </c>
      <c r="H62" s="41">
        <f>IF(INDEX(segments_table,5,1)="","",IF(COUNT(INDEX(segments_table,5,14):INDEX(segments_table,5,18))&gt;0,-H60*N(INDEX(segments_table,5,MIN(14+(5-N(INDEX(segments_table,5,2))),18))),-H60*opex_pct_revenue_y5))</f>
        <v/>
      </c>
    </row>
    <row r="64">
      <c r="A64" s="2" t="inlineStr">
        <is>
          <t>Carved-out revenue (streams with own Opex%)</t>
        </is>
      </c>
      <c r="C64" t="n">
        <v>0</v>
      </c>
      <c r="D64" s="41">
        <f>IF(COUNT(INDEX(segments_table,1,14):INDEX(segments_table,1,18))&gt;0,D44,0)+IF(COUNT(INDEX(segments_table,2,14):INDEX(segments_table,2,18))&gt;0,D48,0)+IF(COUNT(INDEX(segments_table,3,14):INDEX(segments_table,3,18))&gt;0,D52,0)+IF(COUNT(INDEX(segments_table,4,14):INDEX(segments_table,4,18))&gt;0,D56,0)+IF(COUNT(INDEX(segments_table,5,14):INDEX(segments_table,5,18))&gt;0,D60,0)</f>
        <v/>
      </c>
      <c r="E64" s="41">
        <f>IF(COUNT(INDEX(segments_table,1,14):INDEX(segments_table,1,18))&gt;0,E44,0)+IF(COUNT(INDEX(segments_table,2,14):INDEX(segments_table,2,18))&gt;0,E48,0)+IF(COUNT(INDEX(segments_table,3,14):INDEX(segments_table,3,18))&gt;0,E52,0)+IF(COUNT(INDEX(segments_table,4,14):INDEX(segments_table,4,18))&gt;0,E56,0)+IF(COUNT(INDEX(segments_table,5,14):INDEX(segments_table,5,18))&gt;0,E60,0)</f>
        <v/>
      </c>
      <c r="F64" s="41">
        <f>IF(COUNT(INDEX(segments_table,1,14):INDEX(segments_table,1,18))&gt;0,F44,0)+IF(COUNT(INDEX(segments_table,2,14):INDEX(segments_table,2,18))&gt;0,F48,0)+IF(COUNT(INDEX(segments_table,3,14):INDEX(segments_table,3,18))&gt;0,F52,0)+IF(COUNT(INDEX(segments_table,4,14):INDEX(segments_table,4,18))&gt;0,F56,0)+IF(COUNT(INDEX(segments_table,5,14):INDEX(segments_table,5,18))&gt;0,F60,0)</f>
        <v/>
      </c>
      <c r="G64" s="41">
        <f>IF(COUNT(INDEX(segments_table,1,14):INDEX(segments_table,1,18))&gt;0,G44,0)+IF(COUNT(INDEX(segments_table,2,14):INDEX(segments_table,2,18))&gt;0,G48,0)+IF(COUNT(INDEX(segments_table,3,14):INDEX(segments_table,3,18))&gt;0,G52,0)+IF(COUNT(INDEX(segments_table,4,14):INDEX(segments_table,4,18))&gt;0,G56,0)+IF(COUNT(INDEX(segments_table,5,14):INDEX(segments_table,5,18))&gt;0,G60,0)</f>
        <v/>
      </c>
      <c r="H64" s="41">
        <f>IF(COUNT(INDEX(segments_table,1,14):INDEX(segments_table,1,18))&gt;0,H44,0)+IF(COUNT(INDEX(segments_table,2,14):INDEX(segments_table,2,18))&gt;0,H48,0)+IF(COUNT(INDEX(segments_table,3,14):INDEX(segments_table,3,18))&gt;0,H52,0)+IF(COUNT(INDEX(segments_table,4,14):INDEX(segments_table,4,18))&gt;0,H56,0)+IF(COUNT(INDEX(segments_table,5,14):INDEX(segments_table,5,18))&gt;0,H60,0)</f>
        <v/>
      </c>
    </row>
    <row r="65">
      <c r="A65" s="2" t="inlineStr">
        <is>
          <t>Direct expenses — carved-out streams subtotal</t>
        </is>
      </c>
      <c r="C65" t="n">
        <v>0</v>
      </c>
      <c r="D65" s="41">
        <f>IF(COUNT(INDEX(segments_table,1,14):INDEX(segments_table,1,18))&gt;0,N(D46),0)+IF(COUNT(INDEX(segments_table,2,14):INDEX(segments_table,2,18))&gt;0,N(D50),0)+IF(COUNT(INDEX(segments_table,3,14):INDEX(segments_table,3,18))&gt;0,N(D54),0)+IF(COUNT(INDEX(segments_table,4,14):INDEX(segments_table,4,18))&gt;0,N(D58),0)+IF(COUNT(INDEX(segments_table,5,14):INDEX(segments_table,5,18))&gt;0,N(D62),0)</f>
        <v/>
      </c>
      <c r="E65" s="41">
        <f>IF(COUNT(INDEX(segments_table,1,14):INDEX(segments_table,1,18))&gt;0,N(E46),0)+IF(COUNT(INDEX(segments_table,2,14):INDEX(segments_table,2,18))&gt;0,N(E50),0)+IF(COUNT(INDEX(segments_table,3,14):INDEX(segments_table,3,18))&gt;0,N(E54),0)+IF(COUNT(INDEX(segments_table,4,14):INDEX(segments_table,4,18))&gt;0,N(E58),0)+IF(COUNT(INDEX(segments_table,5,14):INDEX(segments_table,5,18))&gt;0,N(E62),0)</f>
        <v/>
      </c>
      <c r="F65" s="41">
        <f>IF(COUNT(INDEX(segments_table,1,14):INDEX(segments_table,1,18))&gt;0,N(F46),0)+IF(COUNT(INDEX(segments_table,2,14):INDEX(segments_table,2,18))&gt;0,N(F50),0)+IF(COUNT(INDEX(segments_table,3,14):INDEX(segments_table,3,18))&gt;0,N(F54),0)+IF(COUNT(INDEX(segments_table,4,14):INDEX(segments_table,4,18))&gt;0,N(F58),0)+IF(COUNT(INDEX(segments_table,5,14):INDEX(segments_table,5,18))&gt;0,N(F62),0)</f>
        <v/>
      </c>
      <c r="G65" s="41">
        <f>IF(COUNT(INDEX(segments_table,1,14):INDEX(segments_table,1,18))&gt;0,N(G46),0)+IF(COUNT(INDEX(segments_table,2,14):INDEX(segments_table,2,18))&gt;0,N(G50),0)+IF(COUNT(INDEX(segments_table,3,14):INDEX(segments_table,3,18))&gt;0,N(G54),0)+IF(COUNT(INDEX(segments_table,4,14):INDEX(segments_table,4,18))&gt;0,N(G58),0)+IF(COUNT(INDEX(segments_table,5,14):INDEX(segments_table,5,18))&gt;0,N(G62),0)</f>
        <v/>
      </c>
      <c r="H65" s="41">
        <f>IF(COUNT(INDEX(segments_table,1,14):INDEX(segments_table,1,18))&gt;0,N(H46),0)+IF(COUNT(INDEX(segments_table,2,14):INDEX(segments_table,2,18))&gt;0,N(H50),0)+IF(COUNT(INDEX(segments_table,3,14):INDEX(segments_table,3,18))&gt;0,N(H54),0)+IF(COUNT(INDEX(segments_table,4,14):INDEX(segments_table,4,18))&gt;0,N(H58),0)+IF(COUNT(INDEX(segments_table,5,14):INDEX(segments_table,5,18))&gt;0,N(H62),0)</f>
        <v/>
      </c>
    </row>
  </sheetData>
  <mergeCells count="9">
    <mergeCell ref="A15:H15"/>
    <mergeCell ref="A29:H29"/>
    <mergeCell ref="A25:H25"/>
    <mergeCell ref="A43:H43"/>
    <mergeCell ref="A2:H2"/>
    <mergeCell ref="A42:H42"/>
    <mergeCell ref="A1:H1"/>
    <mergeCell ref="A6:H6"/>
    <mergeCell ref="A34:H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wacc_per_mgmt</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1/(1+wacc_per_mgmt)^D12</f>
        <v/>
      </c>
      <c r="E13" s="49">
        <f>1/(1+wacc_per_mgmt)^E12</f>
        <v/>
      </c>
      <c r="F13" s="49">
        <f>1/(1+wacc_per_mgmt)^F12</f>
        <v/>
      </c>
      <c r="G13" s="49">
        <f>1/(1+wacc_per_mgmt)^G12</f>
        <v/>
      </c>
      <c r="H13" s="49">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wacc_indep</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1/(1+wacc_indep)^D12</f>
        <v/>
      </c>
      <c r="E13" s="49">
        <f>1/(1+wacc_indep)^E12</f>
        <v/>
      </c>
      <c r="F13" s="49">
        <f>1/(1+wacc_indep)^F12</f>
        <v/>
      </c>
      <c r="G13" s="49">
        <f>1/(1+wacc_indep)^G12</f>
        <v/>
      </c>
      <c r="H13" s="49">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Projections!D12</f>
        <v/>
      </c>
      <c r="C7" s="50">
        <f>'CoCo Multiples'!F41</f>
        <v/>
      </c>
      <c r="D7" s="50">
        <f>'CoCo Multiples'!F39</f>
        <v/>
      </c>
      <c r="E7" s="50">
        <f>'CoCo Multiples'!F38</f>
        <v/>
      </c>
      <c r="F7" s="40">
        <f>IFERROR(B7*C7,"n/a")</f>
        <v/>
      </c>
      <c r="G7" s="40">
        <f>IFERROR(B7*D7,"n/a")</f>
        <v/>
      </c>
      <c r="H7" s="40">
        <f>IFERROR(B7*E7,"n/a")</f>
        <v/>
      </c>
    </row>
    <row r="8">
      <c r="A8" s="4" t="inlineStr">
        <is>
          <t>EV/EBITDA NTM</t>
        </is>
      </c>
      <c r="B8" s="40">
        <f>Projections!D19</f>
        <v/>
      </c>
      <c r="C8" s="51">
        <f>'CoCo Multiples'!H41</f>
        <v/>
      </c>
      <c r="D8" s="51">
        <f>'CoCo Multiples'!H39</f>
        <v/>
      </c>
      <c r="E8" s="51">
        <f>'CoCo Multiples'!H38</f>
        <v/>
      </c>
      <c r="F8" s="40">
        <f>IFERROR(B8*C8,"n/a")</f>
        <v/>
      </c>
      <c r="G8" s="40">
        <f>IFERROR(B8*D8,"n/a")</f>
        <v/>
      </c>
      <c r="H8" s="40">
        <f>IFERROR(B8*E8,"n/a")</f>
        <v/>
      </c>
    </row>
    <row r="9">
      <c r="A9" s="4" t="inlineStr">
        <is>
          <t>P/E NTM (gives Equity)</t>
        </is>
      </c>
      <c r="B9" s="40">
        <f>Projections!D27</f>
        <v/>
      </c>
      <c r="C9" s="51">
        <f>'CoCo Multiples'!J41</f>
        <v/>
      </c>
      <c r="D9" s="51">
        <f>'CoCo Multiples'!J39</f>
        <v/>
      </c>
      <c r="E9" s="51">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4" t="inlineStr">
        <is>
          <t>DCF EV — Per Management</t>
        </is>
      </c>
      <c r="B15" s="52">
        <f>'DCF'!I27</f>
        <v/>
      </c>
    </row>
    <row r="16">
      <c r="A16" s="44" t="inlineStr">
        <is>
          <t>DCF EV — Independent</t>
        </is>
      </c>
      <c r="B16" s="52">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4" t="inlineStr">
        <is>
          <t>Mean of CoCo-implied EVs (Sales + EBITDA + P/E)</t>
        </is>
      </c>
      <c r="B21" s="52">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ranges (DCF primary; others cross-checks)</t>
        </is>
      </c>
    </row>
    <row r="2">
      <c r="A2" s="2" t="inlineStr">
        <is>
          <t>Range chart input. DCF range comes from the two WACC scenarios and is the primary methodology (weight_dcf = 1.0). Comps range from CoCo Q1/Median/Q3 and Precedent range from precedents_table are retained as cross-checks against the DCF EV (±10% band, see rows 22-26).</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3" t="inlineStr">
        <is>
          <t>DCF (across scenarios)</t>
        </is>
      </c>
      <c r="B7" s="40">
        <f>MIN('DCF'!I27,'DCF (Independent)'!I27)</f>
        <v/>
      </c>
      <c r="C7" s="40">
        <f>AVERAGE('DCF'!I27,'DCF (Independent)'!I27)</f>
        <v/>
      </c>
      <c r="D7" s="40">
        <f>MAX('DCF'!I27,'DCF (Independent)'!I27)</f>
        <v/>
      </c>
      <c r="E7" s="54">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3" t="inlineStr">
        <is>
          <t>Comps — combined (mean of 3 methodologies)</t>
        </is>
      </c>
      <c r="B11" s="40">
        <f>MIN(C8,C9,C10)</f>
        <v/>
      </c>
      <c r="C11" s="40">
        <f>AVERAGE(C8,C9,C10)</f>
        <v/>
      </c>
      <c r="D11" s="40">
        <f>MAX(C8,C9,C10)</f>
        <v/>
      </c>
      <c r="E11" s="54">
        <f>weight_comps</f>
        <v/>
      </c>
      <c r="F11" s="40">
        <f>C11*E11</f>
        <v/>
      </c>
      <c r="G11" s="34" t="inlineStr">
        <is>
          <t>Low/High across the 3 mids; Mid is mean</t>
        </is>
      </c>
    </row>
    <row r="12">
      <c r="A12" s="53" t="inlineStr">
        <is>
          <t>Precedent transactions</t>
        </is>
      </c>
      <c r="B12" s="40">
        <f>IFERROR(MIN(IF(INDEX(precedents_table,0,1)=TRUE,INDEX(precedents_table,0,7)*Projections!D19,"")),0)</f>
        <v/>
      </c>
      <c r="C12" s="40">
        <f>IFERROR(AVERAGEIFS(INDEX(precedents_table,0,7),INDEX(precedents_table,0,1),TRUE)*Projections!D19,0)</f>
        <v/>
      </c>
      <c r="D12" s="40">
        <f>IFERROR(MAX(IF(INDEX(precedents_table,0,1)=TRUE,INDEX(precedents_table,0,7)*Projections!D19,"")),0)</f>
        <v/>
      </c>
      <c r="E12" s="54">
        <f>weight_precedent</f>
        <v/>
      </c>
      <c r="F12" s="40">
        <f>C12*E12</f>
        <v/>
      </c>
      <c r="G12" s="34" t="inlineStr">
        <is>
          <t>Mean EV/EBITDA × Y1 EBITDA across included precedents</t>
        </is>
      </c>
    </row>
    <row r="14">
      <c r="A14" s="3" t="inlineStr">
        <is>
          <t>Concluded valuation (DCF primary)</t>
        </is>
      </c>
    </row>
    <row r="15">
      <c r="A15" s="4" t="inlineStr">
        <is>
          <t>Total weight applied</t>
        </is>
      </c>
      <c r="E15" s="42">
        <f>E7+E11+E12</f>
        <v/>
      </c>
    </row>
    <row r="16">
      <c r="A16" s="44" t="inlineStr">
        <is>
          <t>Concluded EV (DCF primary)</t>
        </is>
      </c>
      <c r="F16" s="45">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row r="22">
      <c r="A22" s="3" t="inlineStr">
        <is>
          <t>Cross-checks vs DCF enterprise value (±10% band)</t>
        </is>
      </c>
    </row>
    <row r="23">
      <c r="A23" s="55" t="inlineStr">
        <is>
          <t>Cross-check</t>
        </is>
      </c>
      <c r="B23" s="55" t="inlineStr">
        <is>
          <t>Implied EV</t>
        </is>
      </c>
      <c r="C23" s="55" t="inlineStr">
        <is>
          <t>Variance vs DCF</t>
        </is>
      </c>
      <c r="D23" s="55" t="inlineStr">
        <is>
          <t>Assessment</t>
        </is>
      </c>
      <c r="E23" s="55" t="inlineStr"/>
      <c r="F23" s="55" t="inlineStr"/>
      <c r="G23" s="55" t="inlineStr"/>
    </row>
    <row r="24">
      <c r="A24" s="22" t="inlineStr">
        <is>
          <t>Market approach (Comps combined)</t>
        </is>
      </c>
      <c r="B24" s="40">
        <f>C11</f>
        <v/>
      </c>
      <c r="C24" s="54">
        <f>IF(OR(C11=0,'DCF'!I27=0),"n/a",C11/'DCF'!I27-1)</f>
        <v/>
      </c>
      <c r="D24" s="33">
        <f>IF(OR(C11=0,'DCF'!I27=0),"Not available",IF(ABS(C11/'DCF'!I27-1)&lt;=0.1,"Within reasonable range","Outside cross-check range"))</f>
        <v/>
      </c>
      <c r="E24" s="33" t="n"/>
      <c r="F24" s="33" t="n"/>
      <c r="G24" s="33" t="n"/>
    </row>
    <row r="25">
      <c r="A25" s="22" t="inlineStr">
        <is>
          <t>Precedent transactions</t>
        </is>
      </c>
      <c r="B25" s="40">
        <f>C12</f>
        <v/>
      </c>
      <c r="C25" s="54">
        <f>IF(OR(C12=0,'DCF'!I27=0),"n/a",C12/'DCF'!I27-1)</f>
        <v/>
      </c>
      <c r="D25" s="33">
        <f>IF(OR(C12=0,'DCF'!I27=0),"Not available",IF(ABS(C12/'DCF'!I27-1)&lt;=0.1,"Within reasonable range","Outside cross-check range"))</f>
        <v/>
      </c>
      <c r="E25" s="33" t="n"/>
      <c r="F25" s="33" t="n"/>
      <c r="G25" s="33" t="n"/>
    </row>
    <row r="26">
      <c r="A26" s="53" t="inlineStr">
        <is>
          <t>Overall cross-check verdict</t>
        </is>
      </c>
      <c r="B26" s="33" t="n"/>
      <c r="C26" s="33" t="n"/>
      <c r="D26" s="53">
        <f>IF(AND(D24="Not available",D25="Not available"),"Not available",IF(OR(D24="Outside cross-check range",D25="Outside cross-check range"),"Outside cross-check range","Within reasonable range"))</f>
        <v/>
      </c>
      <c r="E26" s="33" t="n"/>
      <c r="F26" s="33" t="n"/>
      <c r="G26" s="33" t="n"/>
    </row>
  </sheetData>
  <mergeCells count="6">
    <mergeCell ref="A14:G14"/>
    <mergeCell ref="A17:G17"/>
    <mergeCell ref="A6:G6"/>
    <mergeCell ref="A22:G22"/>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6">
        <f>IF(ISNUMBER(tax_effective_rate),tax_effective_rate,tax_rate_high)</f>
        <v/>
      </c>
      <c r="F7" s="56">
        <f>IF(ISNUMBER(tax_effective_rate),tax_effective_rate,tax_rate_high)</f>
        <v/>
      </c>
    </row>
    <row r="8">
      <c r="A8" s="4" t="inlineStr">
        <is>
          <t>Unlevered beta</t>
        </is>
      </c>
      <c r="C8" s="2" t="inlineStr">
        <is>
          <t>x</t>
        </is>
      </c>
      <c r="E8" s="57">
        <f>unlevered_beta_per_mgmt</f>
        <v/>
      </c>
      <c r="F8" s="57">
        <f>unlevered_beta_indep</f>
        <v/>
      </c>
    </row>
    <row r="9">
      <c r="A9" s="4" t="inlineStr">
        <is>
          <t>D/E ratio</t>
        </is>
      </c>
      <c r="C9" s="2" t="inlineStr">
        <is>
          <t>%</t>
        </is>
      </c>
      <c r="E9" s="56">
        <f>target_debt_to_equity_per_mgmt</f>
        <v/>
      </c>
      <c r="F9" s="56">
        <f>target_debt_to_equity_indep</f>
        <v/>
      </c>
    </row>
    <row r="10">
      <c r="A10" s="4" t="inlineStr">
        <is>
          <t>Levered beta (calc)</t>
        </is>
      </c>
      <c r="C10" s="2" t="inlineStr">
        <is>
          <t>x</t>
        </is>
      </c>
      <c r="E10" s="57">
        <f>E8*(1+(1-E7)*E9)</f>
        <v/>
      </c>
      <c r="F10" s="57">
        <f>F8*(1+(1-F7)*F9)</f>
        <v/>
      </c>
    </row>
    <row r="11">
      <c r="A11" s="4" t="inlineStr">
        <is>
          <t>Risk-free rate</t>
        </is>
      </c>
      <c r="C11" s="2" t="inlineStr">
        <is>
          <t>%</t>
        </is>
      </c>
      <c r="E11" s="56">
        <f>risk_free_rate</f>
        <v/>
      </c>
      <c r="F11" s="56">
        <f>risk_free_rate</f>
        <v/>
      </c>
    </row>
    <row r="12">
      <c r="A12" s="4" t="inlineStr">
        <is>
          <t>Equity risk premium (ERP)</t>
        </is>
      </c>
      <c r="C12" s="2" t="inlineStr">
        <is>
          <t>%</t>
        </is>
      </c>
      <c r="E12" s="56">
        <f>equity_risk_premium</f>
        <v/>
      </c>
      <c r="F12" s="56">
        <f>equity_risk_premium</f>
        <v/>
      </c>
    </row>
    <row r="13">
      <c r="A13" s="4" t="inlineStr">
        <is>
          <t>Country risk premium</t>
        </is>
      </c>
      <c r="C13" s="2" t="inlineStr">
        <is>
          <t>%</t>
        </is>
      </c>
      <c r="E13" s="56">
        <f>country_risk_premium</f>
        <v/>
      </c>
      <c r="F13" s="56">
        <f>country_risk_premium</f>
        <v/>
      </c>
    </row>
    <row r="14">
      <c r="A14" s="4" t="inlineStr">
        <is>
          <t>Size premium</t>
        </is>
      </c>
      <c r="C14" s="2" t="inlineStr">
        <is>
          <t>%</t>
        </is>
      </c>
      <c r="E14" s="56">
        <f>size_premium_per_mgmt</f>
        <v/>
      </c>
      <c r="F14" s="56">
        <f>size_premium_indep</f>
        <v/>
      </c>
    </row>
    <row r="15">
      <c r="A15" s="4" t="inlineStr">
        <is>
          <t>Specific risk premium</t>
        </is>
      </c>
      <c r="C15" s="2" t="inlineStr">
        <is>
          <t>%</t>
        </is>
      </c>
      <c r="E15" s="56">
        <f>specific_risk_premium_per_mgmt</f>
        <v/>
      </c>
      <c r="F15" s="56">
        <f>specific_risk_premium_indep</f>
        <v/>
      </c>
    </row>
    <row r="16">
      <c r="A16" s="44" t="inlineStr">
        <is>
          <t>Cost of Equity (calc)</t>
        </is>
      </c>
      <c r="C16" s="2" t="inlineStr">
        <is>
          <t>%</t>
        </is>
      </c>
      <c r="E16" s="56">
        <f>E11+E10*E12+E13+E14+E15</f>
        <v/>
      </c>
      <c r="F16" s="56">
        <f>F11+F10*F12+F13+F14+F15</f>
        <v/>
      </c>
    </row>
    <row r="18">
      <c r="A18" s="3" t="inlineStr">
        <is>
          <t>Cost of Debt (Kd)</t>
        </is>
      </c>
    </row>
    <row r="19">
      <c r="A19" s="4" t="inlineStr">
        <is>
          <t>Pre-tax cost of debt</t>
        </is>
      </c>
      <c r="C19" s="2" t="inlineStr">
        <is>
          <t>%</t>
        </is>
      </c>
      <c r="E19" s="56">
        <f>pretax_cost_of_debt_per_mgmt</f>
        <v/>
      </c>
      <c r="F19" s="56">
        <f>pretax_cost_of_debt_indep</f>
        <v/>
      </c>
    </row>
    <row r="20">
      <c r="A20" s="44" t="inlineStr">
        <is>
          <t>After-tax cost of debt (calc)</t>
        </is>
      </c>
      <c r="C20" s="2" t="inlineStr">
        <is>
          <t>%</t>
        </is>
      </c>
      <c r="E20" s="56">
        <f>E19*(1-E7)</f>
        <v/>
      </c>
      <c r="F20" s="56">
        <f>F19*(1-F7)</f>
        <v/>
      </c>
    </row>
    <row r="22">
      <c r="A22" s="3" t="inlineStr">
        <is>
          <t>Capital structure &amp; WACC</t>
        </is>
      </c>
    </row>
    <row r="23">
      <c r="A23" s="4" t="inlineStr">
        <is>
          <t>D/V (debt weight)</t>
        </is>
      </c>
      <c r="C23" s="2" t="inlineStr">
        <is>
          <t>%</t>
        </is>
      </c>
      <c r="E23" s="56">
        <f>target_debt_weight_per_mgmt</f>
        <v/>
      </c>
      <c r="F23" s="56">
        <f>target_debt_weight_indep</f>
        <v/>
      </c>
    </row>
    <row r="24">
      <c r="A24" s="4" t="inlineStr">
        <is>
          <t>E/V (equity weight)</t>
        </is>
      </c>
      <c r="C24" s="2" t="inlineStr">
        <is>
          <t>%</t>
        </is>
      </c>
      <c r="E24" s="56">
        <f>target_equity_weight_per_mgmt</f>
        <v/>
      </c>
      <c r="F24" s="56">
        <f>target_equity_weight_indep</f>
        <v/>
      </c>
    </row>
    <row r="25">
      <c r="A25" s="44" t="inlineStr">
        <is>
          <t>WACC (calc)</t>
        </is>
      </c>
      <c r="C25" s="2" t="inlineStr">
        <is>
          <t>%</t>
        </is>
      </c>
      <c r="E25" s="56">
        <f>E16*E24+E20*E23</f>
        <v/>
      </c>
      <c r="F25" s="56">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8" t="n"/>
      <c r="F6" s="58" t="n"/>
      <c r="G6" s="59" t="n"/>
      <c r="H6" s="59" t="n"/>
      <c r="I6" s="59" t="n"/>
      <c r="J6" s="59" t="n"/>
    </row>
    <row r="7">
      <c r="A7" s="33">
        <f>Inputs!A128</f>
        <v/>
      </c>
      <c r="B7" s="33">
        <f>Inputs!B128</f>
        <v/>
      </c>
      <c r="C7" s="33">
        <f>Inputs!C128</f>
        <v/>
      </c>
      <c r="D7" s="33">
        <f>Inputs!D128</f>
        <v/>
      </c>
      <c r="E7" s="58" t="n"/>
      <c r="F7" s="58" t="n"/>
      <c r="G7" s="59" t="n"/>
      <c r="H7" s="59" t="n"/>
      <c r="I7" s="59" t="n"/>
      <c r="J7" s="59" t="n"/>
    </row>
    <row r="8">
      <c r="A8" s="33">
        <f>Inputs!A129</f>
        <v/>
      </c>
      <c r="B8" s="33">
        <f>Inputs!B129</f>
        <v/>
      </c>
      <c r="C8" s="33">
        <f>Inputs!C129</f>
        <v/>
      </c>
      <c r="D8" s="33">
        <f>Inputs!D129</f>
        <v/>
      </c>
      <c r="E8" s="58" t="n"/>
      <c r="F8" s="58" t="n"/>
      <c r="G8" s="59" t="n"/>
      <c r="H8" s="59" t="n"/>
      <c r="I8" s="59" t="n"/>
      <c r="J8" s="59" t="n"/>
    </row>
    <row r="9">
      <c r="A9" s="33">
        <f>Inputs!A130</f>
        <v/>
      </c>
      <c r="B9" s="33">
        <f>Inputs!B130</f>
        <v/>
      </c>
      <c r="C9" s="33">
        <f>Inputs!C130</f>
        <v/>
      </c>
      <c r="D9" s="33">
        <f>Inputs!D130</f>
        <v/>
      </c>
      <c r="E9" s="58" t="n"/>
      <c r="F9" s="58" t="n"/>
      <c r="G9" s="59" t="n"/>
      <c r="H9" s="59" t="n"/>
      <c r="I9" s="59" t="n"/>
      <c r="J9" s="59" t="n"/>
    </row>
    <row r="10">
      <c r="A10" s="33">
        <f>Inputs!A131</f>
        <v/>
      </c>
      <c r="B10" s="33">
        <f>Inputs!B131</f>
        <v/>
      </c>
      <c r="C10" s="33">
        <f>Inputs!C131</f>
        <v/>
      </c>
      <c r="D10" s="33">
        <f>Inputs!D131</f>
        <v/>
      </c>
      <c r="E10" s="58" t="n"/>
      <c r="F10" s="58" t="n"/>
      <c r="G10" s="59" t="n"/>
      <c r="H10" s="59" t="n"/>
      <c r="I10" s="59" t="n"/>
      <c r="J10" s="59" t="n"/>
    </row>
    <row r="11">
      <c r="A11" s="33">
        <f>Inputs!A132</f>
        <v/>
      </c>
      <c r="B11" s="33">
        <f>Inputs!B132</f>
        <v/>
      </c>
      <c r="C11" s="33">
        <f>Inputs!C132</f>
        <v/>
      </c>
      <c r="D11" s="33">
        <f>Inputs!D132</f>
        <v/>
      </c>
      <c r="E11" s="58" t="n"/>
      <c r="F11" s="58" t="n"/>
      <c r="G11" s="59" t="n"/>
      <c r="H11" s="59" t="n"/>
      <c r="I11" s="59" t="n"/>
      <c r="J11" s="59" t="n"/>
    </row>
    <row r="12">
      <c r="A12" s="33">
        <f>Inputs!A133</f>
        <v/>
      </c>
      <c r="B12" s="33">
        <f>Inputs!B133</f>
        <v/>
      </c>
      <c r="C12" s="33">
        <f>Inputs!C133</f>
        <v/>
      </c>
      <c r="D12" s="33">
        <f>Inputs!D133</f>
        <v/>
      </c>
      <c r="E12" s="58" t="n"/>
      <c r="F12" s="58" t="n"/>
      <c r="G12" s="59" t="n"/>
      <c r="H12" s="59" t="n"/>
      <c r="I12" s="59" t="n"/>
      <c r="J12" s="59" t="n"/>
    </row>
    <row r="13">
      <c r="A13" s="33">
        <f>Inputs!A134</f>
        <v/>
      </c>
      <c r="B13" s="33">
        <f>Inputs!B134</f>
        <v/>
      </c>
      <c r="C13" s="33">
        <f>Inputs!C134</f>
        <v/>
      </c>
      <c r="D13" s="33">
        <f>Inputs!D134</f>
        <v/>
      </c>
      <c r="E13" s="58" t="n"/>
      <c r="F13" s="58" t="n"/>
      <c r="G13" s="59" t="n"/>
      <c r="H13" s="59" t="n"/>
      <c r="I13" s="59" t="n"/>
      <c r="J13" s="59" t="n"/>
    </row>
    <row r="14">
      <c r="A14" s="33">
        <f>Inputs!A135</f>
        <v/>
      </c>
      <c r="B14" s="33">
        <f>Inputs!B135</f>
        <v/>
      </c>
      <c r="C14" s="33">
        <f>Inputs!C135</f>
        <v/>
      </c>
      <c r="D14" s="33">
        <f>Inputs!D135</f>
        <v/>
      </c>
      <c r="E14" s="58" t="n"/>
      <c r="F14" s="58" t="n"/>
      <c r="G14" s="59" t="n"/>
      <c r="H14" s="59" t="n"/>
      <c r="I14" s="59" t="n"/>
      <c r="J14" s="59" t="n"/>
    </row>
    <row r="15">
      <c r="A15" s="33">
        <f>Inputs!A136</f>
        <v/>
      </c>
      <c r="B15" s="33">
        <f>Inputs!B136</f>
        <v/>
      </c>
      <c r="C15" s="33">
        <f>Inputs!C136</f>
        <v/>
      </c>
      <c r="D15" s="33">
        <f>Inputs!D136</f>
        <v/>
      </c>
      <c r="E15" s="58" t="n"/>
      <c r="F15" s="58" t="n"/>
      <c r="G15" s="59" t="n"/>
      <c r="H15" s="59" t="n"/>
      <c r="I15" s="59" t="n"/>
      <c r="J15" s="59" t="n"/>
    </row>
    <row r="16">
      <c r="A16" s="33">
        <f>Inputs!A137</f>
        <v/>
      </c>
      <c r="B16" s="33">
        <f>Inputs!B137</f>
        <v/>
      </c>
      <c r="C16" s="33">
        <f>Inputs!C137</f>
        <v/>
      </c>
      <c r="D16" s="33">
        <f>Inputs!D137</f>
        <v/>
      </c>
      <c r="E16" s="58" t="n"/>
      <c r="F16" s="58" t="n"/>
      <c r="G16" s="59" t="n"/>
      <c r="H16" s="59" t="n"/>
      <c r="I16" s="59" t="n"/>
      <c r="J16" s="59" t="n"/>
    </row>
    <row r="17">
      <c r="A17" s="33">
        <f>Inputs!A138</f>
        <v/>
      </c>
      <c r="B17" s="33">
        <f>Inputs!B138</f>
        <v/>
      </c>
      <c r="C17" s="33">
        <f>Inputs!C138</f>
        <v/>
      </c>
      <c r="D17" s="33">
        <f>Inputs!D138</f>
        <v/>
      </c>
      <c r="E17" s="58" t="n"/>
      <c r="F17" s="58" t="n"/>
      <c r="G17" s="59" t="n"/>
      <c r="H17" s="59" t="n"/>
      <c r="I17" s="59" t="n"/>
      <c r="J17" s="59" t="n"/>
    </row>
    <row r="18">
      <c r="A18" s="33">
        <f>Inputs!A139</f>
        <v/>
      </c>
      <c r="B18" s="33">
        <f>Inputs!B139</f>
        <v/>
      </c>
      <c r="C18" s="33">
        <f>Inputs!C139</f>
        <v/>
      </c>
      <c r="D18" s="33">
        <f>Inputs!D139</f>
        <v/>
      </c>
      <c r="E18" s="58" t="n"/>
      <c r="F18" s="58" t="n"/>
      <c r="G18" s="59" t="n"/>
      <c r="H18" s="59" t="n"/>
      <c r="I18" s="59" t="n"/>
      <c r="J18" s="59" t="n"/>
    </row>
    <row r="19">
      <c r="A19" s="33">
        <f>Inputs!A140</f>
        <v/>
      </c>
      <c r="B19" s="33">
        <f>Inputs!B140</f>
        <v/>
      </c>
      <c r="C19" s="33">
        <f>Inputs!C140</f>
        <v/>
      </c>
      <c r="D19" s="33">
        <f>Inputs!D140</f>
        <v/>
      </c>
      <c r="E19" s="58" t="n"/>
      <c r="F19" s="58" t="n"/>
      <c r="G19" s="59" t="n"/>
      <c r="H19" s="59" t="n"/>
      <c r="I19" s="59" t="n"/>
      <c r="J19" s="59" t="n"/>
    </row>
    <row r="20">
      <c r="A20" s="33">
        <f>Inputs!A141</f>
        <v/>
      </c>
      <c r="B20" s="33">
        <f>Inputs!B141</f>
        <v/>
      </c>
      <c r="C20" s="33">
        <f>Inputs!C141</f>
        <v/>
      </c>
      <c r="D20" s="33">
        <f>Inputs!D141</f>
        <v/>
      </c>
      <c r="E20" s="58" t="n"/>
      <c r="F20" s="58" t="n"/>
      <c r="G20" s="59" t="n"/>
      <c r="H20" s="59" t="n"/>
      <c r="I20" s="59" t="n"/>
      <c r="J20" s="59" t="n"/>
    </row>
    <row r="21">
      <c r="A21" s="33">
        <f>Inputs!A142</f>
        <v/>
      </c>
      <c r="B21" s="33">
        <f>Inputs!B142</f>
        <v/>
      </c>
      <c r="C21" s="33">
        <f>Inputs!C142</f>
        <v/>
      </c>
      <c r="D21" s="33">
        <f>Inputs!D142</f>
        <v/>
      </c>
      <c r="E21" s="58" t="n"/>
      <c r="F21" s="58" t="n"/>
      <c r="G21" s="59" t="n"/>
      <c r="H21" s="59" t="n"/>
      <c r="I21" s="59" t="n"/>
      <c r="J21" s="59" t="n"/>
    </row>
    <row r="22">
      <c r="A22" s="33">
        <f>Inputs!A143</f>
        <v/>
      </c>
      <c r="B22" s="33">
        <f>Inputs!B143</f>
        <v/>
      </c>
      <c r="C22" s="33">
        <f>Inputs!C143</f>
        <v/>
      </c>
      <c r="D22" s="33">
        <f>Inputs!D143</f>
        <v/>
      </c>
      <c r="E22" s="58" t="n"/>
      <c r="F22" s="58" t="n"/>
      <c r="G22" s="59" t="n"/>
      <c r="H22" s="59" t="n"/>
      <c r="I22" s="59" t="n"/>
      <c r="J22" s="59" t="n"/>
    </row>
    <row r="23">
      <c r="A23" s="33">
        <f>Inputs!A144</f>
        <v/>
      </c>
      <c r="B23" s="33">
        <f>Inputs!B144</f>
        <v/>
      </c>
      <c r="C23" s="33">
        <f>Inputs!C144</f>
        <v/>
      </c>
      <c r="D23" s="33">
        <f>Inputs!D144</f>
        <v/>
      </c>
      <c r="E23" s="58" t="n"/>
      <c r="F23" s="58" t="n"/>
      <c r="G23" s="59" t="n"/>
      <c r="H23" s="59" t="n"/>
      <c r="I23" s="59" t="n"/>
      <c r="J23" s="59" t="n"/>
    </row>
    <row r="24">
      <c r="A24" s="33">
        <f>Inputs!A145</f>
        <v/>
      </c>
      <c r="B24" s="33">
        <f>Inputs!B145</f>
        <v/>
      </c>
      <c r="C24" s="33">
        <f>Inputs!C145</f>
        <v/>
      </c>
      <c r="D24" s="33">
        <f>Inputs!D145</f>
        <v/>
      </c>
      <c r="E24" s="58" t="n"/>
      <c r="F24" s="58" t="n"/>
      <c r="G24" s="59" t="n"/>
      <c r="H24" s="59" t="n"/>
      <c r="I24" s="59" t="n"/>
      <c r="J24" s="59" t="n"/>
    </row>
    <row r="25">
      <c r="A25" s="33">
        <f>Inputs!A146</f>
        <v/>
      </c>
      <c r="B25" s="33">
        <f>Inputs!B146</f>
        <v/>
      </c>
      <c r="C25" s="33">
        <f>Inputs!C146</f>
        <v/>
      </c>
      <c r="D25" s="33">
        <f>Inputs!D146</f>
        <v/>
      </c>
      <c r="E25" s="58" t="n"/>
      <c r="F25" s="58" t="n"/>
      <c r="G25" s="59" t="n"/>
      <c r="H25" s="59" t="n"/>
      <c r="I25" s="59" t="n"/>
      <c r="J25" s="59" t="n"/>
    </row>
    <row r="26">
      <c r="A26" s="33">
        <f>Inputs!A147</f>
        <v/>
      </c>
      <c r="B26" s="33">
        <f>Inputs!B147</f>
        <v/>
      </c>
      <c r="C26" s="33">
        <f>Inputs!C147</f>
        <v/>
      </c>
      <c r="D26" s="33">
        <f>Inputs!D147</f>
        <v/>
      </c>
      <c r="E26" s="58" t="n"/>
      <c r="F26" s="58" t="n"/>
      <c r="G26" s="59" t="n"/>
      <c r="H26" s="59" t="n"/>
      <c r="I26" s="59" t="n"/>
      <c r="J26" s="59" t="n"/>
    </row>
    <row r="27">
      <c r="A27" s="33">
        <f>Inputs!A148</f>
        <v/>
      </c>
      <c r="B27" s="33">
        <f>Inputs!B148</f>
        <v/>
      </c>
      <c r="C27" s="33">
        <f>Inputs!C148</f>
        <v/>
      </c>
      <c r="D27" s="33">
        <f>Inputs!D148</f>
        <v/>
      </c>
      <c r="E27" s="58" t="n"/>
      <c r="F27" s="58" t="n"/>
      <c r="G27" s="59" t="n"/>
      <c r="H27" s="59" t="n"/>
      <c r="I27" s="59" t="n"/>
      <c r="J27" s="59" t="n"/>
    </row>
    <row r="28">
      <c r="A28" s="33">
        <f>Inputs!A149</f>
        <v/>
      </c>
      <c r="B28" s="33">
        <f>Inputs!B149</f>
        <v/>
      </c>
      <c r="C28" s="33">
        <f>Inputs!C149</f>
        <v/>
      </c>
      <c r="D28" s="33">
        <f>Inputs!D149</f>
        <v/>
      </c>
      <c r="E28" s="58" t="n"/>
      <c r="F28" s="58" t="n"/>
      <c r="G28" s="59" t="n"/>
      <c r="H28" s="59" t="n"/>
      <c r="I28" s="59" t="n"/>
      <c r="J28" s="59" t="n"/>
    </row>
    <row r="29">
      <c r="A29" s="33">
        <f>Inputs!A150</f>
        <v/>
      </c>
      <c r="B29" s="33">
        <f>Inputs!B150</f>
        <v/>
      </c>
      <c r="C29" s="33">
        <f>Inputs!C150</f>
        <v/>
      </c>
      <c r="D29" s="33">
        <f>Inputs!D150</f>
        <v/>
      </c>
      <c r="E29" s="58" t="n"/>
      <c r="F29" s="58" t="n"/>
      <c r="G29" s="59" t="n"/>
      <c r="H29" s="59" t="n"/>
      <c r="I29" s="59" t="n"/>
      <c r="J29" s="59" t="n"/>
    </row>
    <row r="30">
      <c r="A30" s="33">
        <f>Inputs!A151</f>
        <v/>
      </c>
      <c r="B30" s="33">
        <f>Inputs!B151</f>
        <v/>
      </c>
      <c r="C30" s="33">
        <f>Inputs!C151</f>
        <v/>
      </c>
      <c r="D30" s="33">
        <f>Inputs!D151</f>
        <v/>
      </c>
      <c r="E30" s="58" t="n"/>
      <c r="F30" s="58" t="n"/>
      <c r="G30" s="59" t="n"/>
      <c r="H30" s="59" t="n"/>
      <c r="I30" s="59" t="n"/>
      <c r="J30" s="59" t="n"/>
    </row>
    <row r="31">
      <c r="A31" s="33">
        <f>Inputs!A152</f>
        <v/>
      </c>
      <c r="B31" s="33">
        <f>Inputs!B152</f>
        <v/>
      </c>
      <c r="C31" s="33">
        <f>Inputs!C152</f>
        <v/>
      </c>
      <c r="D31" s="33">
        <f>Inputs!D152</f>
        <v/>
      </c>
      <c r="E31" s="58" t="n"/>
      <c r="F31" s="58" t="n"/>
      <c r="G31" s="59" t="n"/>
      <c r="H31" s="59" t="n"/>
      <c r="I31" s="59" t="n"/>
      <c r="J31" s="59" t="n"/>
    </row>
    <row r="32">
      <c r="A32" s="33">
        <f>Inputs!A153</f>
        <v/>
      </c>
      <c r="B32" s="33">
        <f>Inputs!B153</f>
        <v/>
      </c>
      <c r="C32" s="33">
        <f>Inputs!C153</f>
        <v/>
      </c>
      <c r="D32" s="33">
        <f>Inputs!D153</f>
        <v/>
      </c>
      <c r="E32" s="58" t="n"/>
      <c r="F32" s="58" t="n"/>
      <c r="G32" s="59" t="n"/>
      <c r="H32" s="59" t="n"/>
      <c r="I32" s="59" t="n"/>
      <c r="J32" s="59" t="n"/>
    </row>
    <row r="33">
      <c r="A33" s="33">
        <f>Inputs!A154</f>
        <v/>
      </c>
      <c r="B33" s="33">
        <f>Inputs!B154</f>
        <v/>
      </c>
      <c r="C33" s="33">
        <f>Inputs!C154</f>
        <v/>
      </c>
      <c r="D33" s="33">
        <f>Inputs!D154</f>
        <v/>
      </c>
      <c r="E33" s="58" t="n"/>
      <c r="F33" s="58" t="n"/>
      <c r="G33" s="59" t="n"/>
      <c r="H33" s="59" t="n"/>
      <c r="I33" s="59" t="n"/>
      <c r="J33" s="59" t="n"/>
    </row>
    <row r="34">
      <c r="A34" s="33">
        <f>Inputs!A155</f>
        <v/>
      </c>
      <c r="B34" s="33">
        <f>Inputs!B155</f>
        <v/>
      </c>
      <c r="C34" s="33">
        <f>Inputs!C155</f>
        <v/>
      </c>
      <c r="D34" s="33">
        <f>Inputs!D155</f>
        <v/>
      </c>
      <c r="E34" s="58" t="n"/>
      <c r="F34" s="58" t="n"/>
      <c r="G34" s="59" t="n"/>
      <c r="H34" s="59" t="n"/>
      <c r="I34" s="59" t="n"/>
      <c r="J34" s="59" t="n"/>
    </row>
    <row r="35">
      <c r="A35" s="33">
        <f>Inputs!A156</f>
        <v/>
      </c>
      <c r="B35" s="33">
        <f>Inputs!B156</f>
        <v/>
      </c>
      <c r="C35" s="33">
        <f>Inputs!C156</f>
        <v/>
      </c>
      <c r="D35" s="33">
        <f>Inputs!D156</f>
        <v/>
      </c>
      <c r="E35" s="58" t="n"/>
      <c r="F35" s="58" t="n"/>
      <c r="G35" s="59" t="n"/>
      <c r="H35" s="59" t="n"/>
      <c r="I35" s="59" t="n"/>
      <c r="J35" s="59" t="n"/>
    </row>
    <row r="37">
      <c r="D37" s="44" t="inlineStr">
        <is>
          <t>Maximum</t>
        </is>
      </c>
      <c r="E37" s="60">
        <f>IFERROR(MAX(E6:E35),"n/a")</f>
        <v/>
      </c>
      <c r="F37" s="60">
        <f>IFERROR(MAX(F6:F35),"n/a")</f>
        <v/>
      </c>
      <c r="G37" s="61">
        <f>IFERROR(MAX(G6:G35),"n/a")</f>
        <v/>
      </c>
      <c r="H37" s="61">
        <f>IFERROR(MAX(H6:H35),"n/a")</f>
        <v/>
      </c>
      <c r="I37" s="61">
        <f>IFERROR(MAX(I6:I35),"n/a")</f>
        <v/>
      </c>
      <c r="J37" s="61">
        <f>IFERROR(MAX(J6:J35),"n/a")</f>
        <v/>
      </c>
    </row>
    <row r="38">
      <c r="D38" s="44" t="inlineStr">
        <is>
          <t>Q3 (75%)</t>
        </is>
      </c>
      <c r="E38" s="60">
        <f>IFERROR(QUARTILE(E6:E35,3),"n/a")</f>
        <v/>
      </c>
      <c r="F38" s="60">
        <f>IFERROR(QUARTILE(F6:F35,3),"n/a")</f>
        <v/>
      </c>
      <c r="G38" s="61">
        <f>IFERROR(QUARTILE(G6:G35,3),"n/a")</f>
        <v/>
      </c>
      <c r="H38" s="61">
        <f>IFERROR(QUARTILE(H6:H35,3),"n/a")</f>
        <v/>
      </c>
      <c r="I38" s="61">
        <f>IFERROR(QUARTILE(I6:I35,3),"n/a")</f>
        <v/>
      </c>
      <c r="J38" s="61">
        <f>IFERROR(QUARTILE(J6:J35,3),"n/a")</f>
        <v/>
      </c>
    </row>
    <row r="39">
      <c r="D39" s="44" t="inlineStr">
        <is>
          <t>Median</t>
        </is>
      </c>
      <c r="E39" s="62">
        <f>IFERROR(MEDIAN(E6:E35),"n/a")</f>
        <v/>
      </c>
      <c r="F39" s="62">
        <f>IFERROR(MEDIAN(F6:F35),"n/a")</f>
        <v/>
      </c>
      <c r="G39" s="63">
        <f>IFERROR(MEDIAN(G6:G35),"n/a")</f>
        <v/>
      </c>
      <c r="H39" s="63">
        <f>IFERROR(MEDIAN(H6:H35),"n/a")</f>
        <v/>
      </c>
      <c r="I39" s="63">
        <f>IFERROR(MEDIAN(I6:I35),"n/a")</f>
        <v/>
      </c>
      <c r="J39" s="63">
        <f>IFERROR(MEDIAN(J6:J35),"n/a")</f>
        <v/>
      </c>
    </row>
    <row r="40">
      <c r="D40" s="44" t="inlineStr">
        <is>
          <t>Mean</t>
        </is>
      </c>
      <c r="E40" s="60">
        <f>IFERROR(AVERAGE(E6:E35),"n/a")</f>
        <v/>
      </c>
      <c r="F40" s="60">
        <f>IFERROR(AVERAGE(F6:F35),"n/a")</f>
        <v/>
      </c>
      <c r="G40" s="61">
        <f>IFERROR(AVERAGE(G6:G35),"n/a")</f>
        <v/>
      </c>
      <c r="H40" s="61">
        <f>IFERROR(AVERAGE(H6:H35),"n/a")</f>
        <v/>
      </c>
      <c r="I40" s="61">
        <f>IFERROR(AVERAGE(I6:I35),"n/a")</f>
        <v/>
      </c>
      <c r="J40" s="61">
        <f>IFERROR(AVERAGE(J6:J35),"n/a")</f>
        <v/>
      </c>
    </row>
    <row r="41">
      <c r="D41" s="44" t="inlineStr">
        <is>
          <t>Q1 (25%)</t>
        </is>
      </c>
      <c r="E41" s="60">
        <f>IFERROR(QUARTILE(E6:E35,1),"n/a")</f>
        <v/>
      </c>
      <c r="F41" s="60">
        <f>IFERROR(QUARTILE(F6:F35,1),"n/a")</f>
        <v/>
      </c>
      <c r="G41" s="61">
        <f>IFERROR(QUARTILE(G6:G35,1),"n/a")</f>
        <v/>
      </c>
      <c r="H41" s="61">
        <f>IFERROR(QUARTILE(H6:H35,1),"n/a")</f>
        <v/>
      </c>
      <c r="I41" s="61">
        <f>IFERROR(QUARTILE(I6:I35,1),"n/a")</f>
        <v/>
      </c>
      <c r="J41" s="61">
        <f>IFERROR(QUARTILE(J6:J35,1),"n/a")</f>
        <v/>
      </c>
    </row>
    <row r="42">
      <c r="D42" s="44" t="inlineStr">
        <is>
          <t>Minimum</t>
        </is>
      </c>
      <c r="E42" s="60">
        <f>IFERROR(MIN(E6:E35),"n/a")</f>
        <v/>
      </c>
      <c r="F42" s="60">
        <f>IFERROR(MIN(F6:F35),"n/a")</f>
        <v/>
      </c>
      <c r="G42" s="61">
        <f>IFERROR(MIN(G6:G35),"n/a")</f>
        <v/>
      </c>
      <c r="H42" s="61">
        <f>IFERROR(MIN(H6:H35),"n/a")</f>
        <v/>
      </c>
      <c r="I42" s="61">
        <f>IFERROR(MIN(I6:I35),"n/a")</f>
        <v/>
      </c>
      <c r="J42" s="61">
        <f>IFERROR(MIN(J6:J35),"n/a")</f>
        <v/>
      </c>
    </row>
    <row r="44">
      <c r="D44" s="3" t="inlineStr">
        <is>
          <t>Tier-filtered (include=TRUE)</t>
        </is>
      </c>
    </row>
    <row r="45">
      <c r="D45" s="4" t="inlineStr">
        <is>
          <t>Tier 1 mean</t>
        </is>
      </c>
      <c r="E45" s="48">
        <f>IFERROR(AVERAGEIFS(E6:E35,$A$6:$A$35,1,$B$6:$B$35,TRUE),"n/a")</f>
        <v/>
      </c>
      <c r="F45" s="48">
        <f>IFERROR(AVERAGEIFS(F6:F35,$A$6:$A$35,1,$B$6:$B$35,TRUE),"n/a")</f>
        <v/>
      </c>
      <c r="G45" s="64">
        <f>IFERROR(AVERAGEIFS(G6:G35,$A$6:$A$35,1,$B$6:$B$35,TRUE),"n/a")</f>
        <v/>
      </c>
      <c r="H45" s="64">
        <f>IFERROR(AVERAGEIFS(H6:H35,$A$6:$A$35,1,$B$6:$B$35,TRUE),"n/a")</f>
        <v/>
      </c>
      <c r="I45" s="64">
        <f>IFERROR(AVERAGEIFS(I6:I35,$A$6:$A$35,1,$B$6:$B$35,TRUE),"n/a")</f>
        <v/>
      </c>
      <c r="J45" s="64">
        <f>IFERROR(AVERAGEIFS(J6:J35,$A$6:$A$35,1,$B$6:$B$35,TRUE),"n/a")</f>
        <v/>
      </c>
    </row>
    <row r="46">
      <c r="D46" s="4" t="inlineStr">
        <is>
          <t>Tier 2 mean</t>
        </is>
      </c>
      <c r="E46" s="48">
        <f>IFERROR(AVERAGEIFS(E6:E35,$A$6:$A$35,2,$B$6:$B$35,TRUE),"n/a")</f>
        <v/>
      </c>
      <c r="F46" s="48">
        <f>IFERROR(AVERAGEIFS(F6:F35,$A$6:$A$35,2,$B$6:$B$35,TRUE),"n/a")</f>
        <v/>
      </c>
      <c r="G46" s="64">
        <f>IFERROR(AVERAGEIFS(G6:G35,$A$6:$A$35,2,$B$6:$B$35,TRUE),"n/a")</f>
        <v/>
      </c>
      <c r="H46" s="64">
        <f>IFERROR(AVERAGEIFS(H6:H35,$A$6:$A$35,2,$B$6:$B$35,TRUE),"n/a")</f>
        <v/>
      </c>
      <c r="I46" s="64">
        <f>IFERROR(AVERAGEIFS(I6:I35,$A$6:$A$35,2,$B$6:$B$35,TRUE),"n/a")</f>
        <v/>
      </c>
      <c r="J46" s="64">
        <f>IFERROR(AVERAGEIFS(J6:J35,$A$6:$A$35,2,$B$6:$B$35,TRUE),"n/a")</f>
        <v/>
      </c>
    </row>
    <row r="47">
      <c r="D47" s="4" t="inlineStr">
        <is>
          <t>Tier 3 mean</t>
        </is>
      </c>
      <c r="E47" s="48">
        <f>IFERROR(AVERAGEIFS(E6:E35,$A$6:$A$35,3,$B$6:$B$35,TRUE),"n/a")</f>
        <v/>
      </c>
      <c r="F47" s="48">
        <f>IFERROR(AVERAGEIFS(F6:F35,$A$6:$A$35,3,$B$6:$B$35,TRUE),"n/a")</f>
        <v/>
      </c>
      <c r="G47" s="64">
        <f>IFERROR(AVERAGEIFS(G6:G35,$A$6:$A$35,3,$B$6:$B$35,TRUE),"n/a")</f>
        <v/>
      </c>
      <c r="H47" s="64">
        <f>IFERROR(AVERAGEIFS(H6:H35,$A$6:$A$35,3,$B$6:$B$35,TRUE),"n/a")</f>
        <v/>
      </c>
      <c r="I47" s="64">
        <f>IFERROR(AVERAGEIFS(I6:I35,$A$6:$A$35,3,$B$6:$B$35,TRUE),"n/a")</f>
        <v/>
      </c>
      <c r="J47" s="64">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5" t="n"/>
      <c r="F6" s="65" t="n"/>
      <c r="G6" s="65" t="n"/>
    </row>
    <row r="7">
      <c r="A7" s="33">
        <f>Inputs!A128</f>
        <v/>
      </c>
      <c r="B7" s="33">
        <f>Inputs!B128</f>
        <v/>
      </c>
      <c r="C7" s="33">
        <f>Inputs!C128</f>
        <v/>
      </c>
      <c r="D7" s="33">
        <f>Inputs!D128</f>
        <v/>
      </c>
      <c r="E7" s="65" t="n"/>
      <c r="F7" s="65" t="n"/>
      <c r="G7" s="65" t="n"/>
    </row>
    <row r="8">
      <c r="A8" s="33">
        <f>Inputs!A129</f>
        <v/>
      </c>
      <c r="B8" s="33">
        <f>Inputs!B129</f>
        <v/>
      </c>
      <c r="C8" s="33">
        <f>Inputs!C129</f>
        <v/>
      </c>
      <c r="D8" s="33">
        <f>Inputs!D129</f>
        <v/>
      </c>
      <c r="E8" s="65" t="n"/>
      <c r="F8" s="65" t="n"/>
      <c r="G8" s="65" t="n"/>
    </row>
    <row r="9">
      <c r="A9" s="33">
        <f>Inputs!A130</f>
        <v/>
      </c>
      <c r="B9" s="33">
        <f>Inputs!B130</f>
        <v/>
      </c>
      <c r="C9" s="33">
        <f>Inputs!C130</f>
        <v/>
      </c>
      <c r="D9" s="33">
        <f>Inputs!D130</f>
        <v/>
      </c>
      <c r="E9" s="65" t="n"/>
      <c r="F9" s="65" t="n"/>
      <c r="G9" s="65" t="n"/>
    </row>
    <row r="10">
      <c r="A10" s="33">
        <f>Inputs!A131</f>
        <v/>
      </c>
      <c r="B10" s="33">
        <f>Inputs!B131</f>
        <v/>
      </c>
      <c r="C10" s="33">
        <f>Inputs!C131</f>
        <v/>
      </c>
      <c r="D10" s="33">
        <f>Inputs!D131</f>
        <v/>
      </c>
      <c r="E10" s="65" t="n"/>
      <c r="F10" s="65" t="n"/>
      <c r="G10" s="65" t="n"/>
    </row>
    <row r="11">
      <c r="A11" s="33">
        <f>Inputs!A132</f>
        <v/>
      </c>
      <c r="B11" s="33">
        <f>Inputs!B132</f>
        <v/>
      </c>
      <c r="C11" s="33">
        <f>Inputs!C132</f>
        <v/>
      </c>
      <c r="D11" s="33">
        <f>Inputs!D132</f>
        <v/>
      </c>
      <c r="E11" s="65" t="n"/>
      <c r="F11" s="65" t="n"/>
      <c r="G11" s="65" t="n"/>
    </row>
    <row r="12">
      <c r="A12" s="33">
        <f>Inputs!A133</f>
        <v/>
      </c>
      <c r="B12" s="33">
        <f>Inputs!B133</f>
        <v/>
      </c>
      <c r="C12" s="33">
        <f>Inputs!C133</f>
        <v/>
      </c>
      <c r="D12" s="33">
        <f>Inputs!D133</f>
        <v/>
      </c>
      <c r="E12" s="65" t="n"/>
      <c r="F12" s="65" t="n"/>
      <c r="G12" s="65" t="n"/>
    </row>
    <row r="13">
      <c r="A13" s="33">
        <f>Inputs!A134</f>
        <v/>
      </c>
      <c r="B13" s="33">
        <f>Inputs!B134</f>
        <v/>
      </c>
      <c r="C13" s="33">
        <f>Inputs!C134</f>
        <v/>
      </c>
      <c r="D13" s="33">
        <f>Inputs!D134</f>
        <v/>
      </c>
      <c r="E13" s="65" t="n"/>
      <c r="F13" s="65" t="n"/>
      <c r="G13" s="65" t="n"/>
    </row>
    <row r="14">
      <c r="A14" s="33">
        <f>Inputs!A135</f>
        <v/>
      </c>
      <c r="B14" s="33">
        <f>Inputs!B135</f>
        <v/>
      </c>
      <c r="C14" s="33">
        <f>Inputs!C135</f>
        <v/>
      </c>
      <c r="D14" s="33">
        <f>Inputs!D135</f>
        <v/>
      </c>
      <c r="E14" s="65" t="n"/>
      <c r="F14" s="65" t="n"/>
      <c r="G14" s="65" t="n"/>
    </row>
    <row r="15">
      <c r="A15" s="33">
        <f>Inputs!A136</f>
        <v/>
      </c>
      <c r="B15" s="33">
        <f>Inputs!B136</f>
        <v/>
      </c>
      <c r="C15" s="33">
        <f>Inputs!C136</f>
        <v/>
      </c>
      <c r="D15" s="33">
        <f>Inputs!D136</f>
        <v/>
      </c>
      <c r="E15" s="65" t="n"/>
      <c r="F15" s="65" t="n"/>
      <c r="G15" s="65" t="n"/>
    </row>
    <row r="16">
      <c r="A16" s="33">
        <f>Inputs!A137</f>
        <v/>
      </c>
      <c r="B16" s="33">
        <f>Inputs!B137</f>
        <v/>
      </c>
      <c r="C16" s="33">
        <f>Inputs!C137</f>
        <v/>
      </c>
      <c r="D16" s="33">
        <f>Inputs!D137</f>
        <v/>
      </c>
      <c r="E16" s="65" t="n"/>
      <c r="F16" s="65" t="n"/>
      <c r="G16" s="65" t="n"/>
    </row>
    <row r="17">
      <c r="A17" s="33">
        <f>Inputs!A138</f>
        <v/>
      </c>
      <c r="B17" s="33">
        <f>Inputs!B138</f>
        <v/>
      </c>
      <c r="C17" s="33">
        <f>Inputs!C138</f>
        <v/>
      </c>
      <c r="D17" s="33">
        <f>Inputs!D138</f>
        <v/>
      </c>
      <c r="E17" s="65" t="n"/>
      <c r="F17" s="65" t="n"/>
      <c r="G17" s="65" t="n"/>
    </row>
    <row r="18">
      <c r="A18" s="33">
        <f>Inputs!A139</f>
        <v/>
      </c>
      <c r="B18" s="33">
        <f>Inputs!B139</f>
        <v/>
      </c>
      <c r="C18" s="33">
        <f>Inputs!C139</f>
        <v/>
      </c>
      <c r="D18" s="33">
        <f>Inputs!D139</f>
        <v/>
      </c>
      <c r="E18" s="65" t="n"/>
      <c r="F18" s="65" t="n"/>
      <c r="G18" s="65" t="n"/>
    </row>
    <row r="19">
      <c r="A19" s="33">
        <f>Inputs!A140</f>
        <v/>
      </c>
      <c r="B19" s="33">
        <f>Inputs!B140</f>
        <v/>
      </c>
      <c r="C19" s="33">
        <f>Inputs!C140</f>
        <v/>
      </c>
      <c r="D19" s="33">
        <f>Inputs!D140</f>
        <v/>
      </c>
      <c r="E19" s="65" t="n"/>
      <c r="F19" s="65" t="n"/>
      <c r="G19" s="65" t="n"/>
    </row>
    <row r="20">
      <c r="A20" s="33">
        <f>Inputs!A141</f>
        <v/>
      </c>
      <c r="B20" s="33">
        <f>Inputs!B141</f>
        <v/>
      </c>
      <c r="C20" s="33">
        <f>Inputs!C141</f>
        <v/>
      </c>
      <c r="D20" s="33">
        <f>Inputs!D141</f>
        <v/>
      </c>
      <c r="E20" s="65" t="n"/>
      <c r="F20" s="65" t="n"/>
      <c r="G20" s="65" t="n"/>
    </row>
    <row r="21">
      <c r="A21" s="33">
        <f>Inputs!A142</f>
        <v/>
      </c>
      <c r="B21" s="33">
        <f>Inputs!B142</f>
        <v/>
      </c>
      <c r="C21" s="33">
        <f>Inputs!C142</f>
        <v/>
      </c>
      <c r="D21" s="33">
        <f>Inputs!D142</f>
        <v/>
      </c>
      <c r="E21" s="65" t="n"/>
      <c r="F21" s="65" t="n"/>
      <c r="G21" s="65" t="n"/>
    </row>
    <row r="22">
      <c r="A22" s="33">
        <f>Inputs!A143</f>
        <v/>
      </c>
      <c r="B22" s="33">
        <f>Inputs!B143</f>
        <v/>
      </c>
      <c r="C22" s="33">
        <f>Inputs!C143</f>
        <v/>
      </c>
      <c r="D22" s="33">
        <f>Inputs!D143</f>
        <v/>
      </c>
      <c r="E22" s="65" t="n"/>
      <c r="F22" s="65" t="n"/>
      <c r="G22" s="65" t="n"/>
    </row>
    <row r="23">
      <c r="A23" s="33">
        <f>Inputs!A144</f>
        <v/>
      </c>
      <c r="B23" s="33">
        <f>Inputs!B144</f>
        <v/>
      </c>
      <c r="C23" s="33">
        <f>Inputs!C144</f>
        <v/>
      </c>
      <c r="D23" s="33">
        <f>Inputs!D144</f>
        <v/>
      </c>
      <c r="E23" s="65" t="n"/>
      <c r="F23" s="65" t="n"/>
      <c r="G23" s="65" t="n"/>
    </row>
    <row r="24">
      <c r="A24" s="33">
        <f>Inputs!A145</f>
        <v/>
      </c>
      <c r="B24" s="33">
        <f>Inputs!B145</f>
        <v/>
      </c>
      <c r="C24" s="33">
        <f>Inputs!C145</f>
        <v/>
      </c>
      <c r="D24" s="33">
        <f>Inputs!D145</f>
        <v/>
      </c>
      <c r="E24" s="65" t="n"/>
      <c r="F24" s="65" t="n"/>
      <c r="G24" s="65" t="n"/>
    </row>
    <row r="25">
      <c r="A25" s="33">
        <f>Inputs!A146</f>
        <v/>
      </c>
      <c r="B25" s="33">
        <f>Inputs!B146</f>
        <v/>
      </c>
      <c r="C25" s="33">
        <f>Inputs!C146</f>
        <v/>
      </c>
      <c r="D25" s="33">
        <f>Inputs!D146</f>
        <v/>
      </c>
      <c r="E25" s="65" t="n"/>
      <c r="F25" s="65" t="n"/>
      <c r="G25" s="65" t="n"/>
    </row>
    <row r="26">
      <c r="A26" s="33">
        <f>Inputs!A147</f>
        <v/>
      </c>
      <c r="B26" s="33">
        <f>Inputs!B147</f>
        <v/>
      </c>
      <c r="C26" s="33">
        <f>Inputs!C147</f>
        <v/>
      </c>
      <c r="D26" s="33">
        <f>Inputs!D147</f>
        <v/>
      </c>
      <c r="E26" s="65" t="n"/>
      <c r="F26" s="65" t="n"/>
      <c r="G26" s="65" t="n"/>
    </row>
    <row r="27">
      <c r="A27" s="33">
        <f>Inputs!A148</f>
        <v/>
      </c>
      <c r="B27" s="33">
        <f>Inputs!B148</f>
        <v/>
      </c>
      <c r="C27" s="33">
        <f>Inputs!C148</f>
        <v/>
      </c>
      <c r="D27" s="33">
        <f>Inputs!D148</f>
        <v/>
      </c>
      <c r="E27" s="65" t="n"/>
      <c r="F27" s="65" t="n"/>
      <c r="G27" s="65" t="n"/>
    </row>
    <row r="28">
      <c r="A28" s="33">
        <f>Inputs!A149</f>
        <v/>
      </c>
      <c r="B28" s="33">
        <f>Inputs!B149</f>
        <v/>
      </c>
      <c r="C28" s="33">
        <f>Inputs!C149</f>
        <v/>
      </c>
      <c r="D28" s="33">
        <f>Inputs!D149</f>
        <v/>
      </c>
      <c r="E28" s="65" t="n"/>
      <c r="F28" s="65" t="n"/>
      <c r="G28" s="65" t="n"/>
    </row>
    <row r="29">
      <c r="A29" s="33">
        <f>Inputs!A150</f>
        <v/>
      </c>
      <c r="B29" s="33">
        <f>Inputs!B150</f>
        <v/>
      </c>
      <c r="C29" s="33">
        <f>Inputs!C150</f>
        <v/>
      </c>
      <c r="D29" s="33">
        <f>Inputs!D150</f>
        <v/>
      </c>
      <c r="E29" s="65" t="n"/>
      <c r="F29" s="65" t="n"/>
      <c r="G29" s="65" t="n"/>
    </row>
    <row r="30">
      <c r="A30" s="33">
        <f>Inputs!A151</f>
        <v/>
      </c>
      <c r="B30" s="33">
        <f>Inputs!B151</f>
        <v/>
      </c>
      <c r="C30" s="33">
        <f>Inputs!C151</f>
        <v/>
      </c>
      <c r="D30" s="33">
        <f>Inputs!D151</f>
        <v/>
      </c>
      <c r="E30" s="65" t="n"/>
      <c r="F30" s="65" t="n"/>
      <c r="G30" s="65" t="n"/>
    </row>
    <row r="31">
      <c r="A31" s="33">
        <f>Inputs!A152</f>
        <v/>
      </c>
      <c r="B31" s="33">
        <f>Inputs!B152</f>
        <v/>
      </c>
      <c r="C31" s="33">
        <f>Inputs!C152</f>
        <v/>
      </c>
      <c r="D31" s="33">
        <f>Inputs!D152</f>
        <v/>
      </c>
      <c r="E31" s="65" t="n"/>
      <c r="F31" s="65" t="n"/>
      <c r="G31" s="65" t="n"/>
    </row>
    <row r="32">
      <c r="A32" s="33">
        <f>Inputs!A153</f>
        <v/>
      </c>
      <c r="B32" s="33">
        <f>Inputs!B153</f>
        <v/>
      </c>
      <c r="C32" s="33">
        <f>Inputs!C153</f>
        <v/>
      </c>
      <c r="D32" s="33">
        <f>Inputs!D153</f>
        <v/>
      </c>
      <c r="E32" s="65" t="n"/>
      <c r="F32" s="65" t="n"/>
      <c r="G32" s="65" t="n"/>
    </row>
    <row r="33">
      <c r="A33" s="33">
        <f>Inputs!A154</f>
        <v/>
      </c>
      <c r="B33" s="33">
        <f>Inputs!B154</f>
        <v/>
      </c>
      <c r="C33" s="33">
        <f>Inputs!C154</f>
        <v/>
      </c>
      <c r="D33" s="33">
        <f>Inputs!D154</f>
        <v/>
      </c>
      <c r="E33" s="65" t="n"/>
      <c r="F33" s="65" t="n"/>
      <c r="G33" s="65" t="n"/>
    </row>
    <row r="34">
      <c r="A34" s="33">
        <f>Inputs!A155</f>
        <v/>
      </c>
      <c r="B34" s="33">
        <f>Inputs!B155</f>
        <v/>
      </c>
      <c r="C34" s="33">
        <f>Inputs!C155</f>
        <v/>
      </c>
      <c r="D34" s="33">
        <f>Inputs!D155</f>
        <v/>
      </c>
      <c r="E34" s="65" t="n"/>
      <c r="F34" s="65" t="n"/>
      <c r="G34" s="65" t="n"/>
    </row>
    <row r="35">
      <c r="A35" s="33">
        <f>Inputs!A156</f>
        <v/>
      </c>
      <c r="B35" s="33">
        <f>Inputs!B156</f>
        <v/>
      </c>
      <c r="C35" s="33">
        <f>Inputs!C156</f>
        <v/>
      </c>
      <c r="D35" s="33">
        <f>Inputs!D156</f>
        <v/>
      </c>
      <c r="E35" s="65" t="n"/>
      <c r="F35" s="65" t="n"/>
      <c r="G35" s="65" t="n"/>
    </row>
    <row r="37">
      <c r="D37" s="44" t="inlineStr">
        <is>
          <t>Maximum</t>
        </is>
      </c>
      <c r="E37" s="66">
        <f>IFERROR(MAX(E6:E35),"n/a")</f>
        <v/>
      </c>
      <c r="F37" s="66">
        <f>IFERROR(MAX(F6:F35),"n/a")</f>
        <v/>
      </c>
      <c r="G37" s="66">
        <f>IFERROR(MAX(G6:G35),"n/a")</f>
        <v/>
      </c>
    </row>
    <row r="38">
      <c r="D38" s="44" t="inlineStr">
        <is>
          <t>Q3 (75%)</t>
        </is>
      </c>
      <c r="E38" s="66">
        <f>IFERROR(QUARTILE(E6:E35,3),"n/a")</f>
        <v/>
      </c>
      <c r="F38" s="66">
        <f>IFERROR(QUARTILE(F6:F35,3),"n/a")</f>
        <v/>
      </c>
      <c r="G38" s="66">
        <f>IFERROR(QUARTILE(G6:G35,3),"n/a")</f>
        <v/>
      </c>
    </row>
    <row r="39">
      <c r="D39" s="44" t="inlineStr">
        <is>
          <t>Median</t>
        </is>
      </c>
      <c r="E39" s="67">
        <f>IFERROR(MEDIAN(E6:E35),"n/a")</f>
        <v/>
      </c>
      <c r="F39" s="67">
        <f>IFERROR(MEDIAN(F6:F35),"n/a")</f>
        <v/>
      </c>
      <c r="G39" s="67">
        <f>IFERROR(MEDIAN(G6:G35),"n/a")</f>
        <v/>
      </c>
    </row>
    <row r="40">
      <c r="D40" s="44" t="inlineStr">
        <is>
          <t>Mean</t>
        </is>
      </c>
      <c r="E40" s="66">
        <f>IFERROR(AVERAGE(E6:E35),"n/a")</f>
        <v/>
      </c>
      <c r="F40" s="66">
        <f>IFERROR(AVERAGE(F6:F35),"n/a")</f>
        <v/>
      </c>
      <c r="G40" s="66">
        <f>IFERROR(AVERAGE(G6:G35),"n/a")</f>
        <v/>
      </c>
    </row>
    <row r="41">
      <c r="D41" s="44" t="inlineStr">
        <is>
          <t>Q1 (25%)</t>
        </is>
      </c>
      <c r="E41" s="66">
        <f>IFERROR(QUARTILE(E6:E35,1),"n/a")</f>
        <v/>
      </c>
      <c r="F41" s="66">
        <f>IFERROR(QUARTILE(F6:F35,1),"n/a")</f>
        <v/>
      </c>
      <c r="G41" s="66">
        <f>IFERROR(QUARTILE(G6:G35,1),"n/a")</f>
        <v/>
      </c>
    </row>
    <row r="42">
      <c r="D42" s="44" t="inlineStr">
        <is>
          <t>Minimum</t>
        </is>
      </c>
      <c r="E42" s="66">
        <f>IFERROR(MIN(E6:E35),"n/a")</f>
        <v/>
      </c>
      <c r="F42" s="66">
        <f>IFERROR(MIN(F6:F35),"n/a")</f>
        <v/>
      </c>
      <c r="G42" s="66">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5" t="n"/>
      <c r="F6" s="65" t="n"/>
      <c r="G6" s="58" t="n"/>
      <c r="H6" s="58" t="n"/>
    </row>
    <row r="7">
      <c r="A7" s="33">
        <f>Inputs!A128</f>
        <v/>
      </c>
      <c r="B7" s="33">
        <f>Inputs!B128</f>
        <v/>
      </c>
      <c r="C7" s="33">
        <f>Inputs!C128</f>
        <v/>
      </c>
      <c r="D7" s="33">
        <f>Inputs!D128</f>
        <v/>
      </c>
      <c r="E7" s="65" t="n"/>
      <c r="F7" s="65" t="n"/>
      <c r="G7" s="58" t="n"/>
      <c r="H7" s="58" t="n"/>
    </row>
    <row r="8">
      <c r="A8" s="33">
        <f>Inputs!A129</f>
        <v/>
      </c>
      <c r="B8" s="33">
        <f>Inputs!B129</f>
        <v/>
      </c>
      <c r="C8" s="33">
        <f>Inputs!C129</f>
        <v/>
      </c>
      <c r="D8" s="33">
        <f>Inputs!D129</f>
        <v/>
      </c>
      <c r="E8" s="65" t="n"/>
      <c r="F8" s="65" t="n"/>
      <c r="G8" s="58" t="n"/>
      <c r="H8" s="58" t="n"/>
    </row>
    <row r="9">
      <c r="A9" s="33">
        <f>Inputs!A130</f>
        <v/>
      </c>
      <c r="B9" s="33">
        <f>Inputs!B130</f>
        <v/>
      </c>
      <c r="C9" s="33">
        <f>Inputs!C130</f>
        <v/>
      </c>
      <c r="D9" s="33">
        <f>Inputs!D130</f>
        <v/>
      </c>
      <c r="E9" s="65" t="n"/>
      <c r="F9" s="65" t="n"/>
      <c r="G9" s="58" t="n"/>
      <c r="H9" s="58" t="n"/>
    </row>
    <row r="10">
      <c r="A10" s="33">
        <f>Inputs!A131</f>
        <v/>
      </c>
      <c r="B10" s="33">
        <f>Inputs!B131</f>
        <v/>
      </c>
      <c r="C10" s="33">
        <f>Inputs!C131</f>
        <v/>
      </c>
      <c r="D10" s="33">
        <f>Inputs!D131</f>
        <v/>
      </c>
      <c r="E10" s="65" t="n"/>
      <c r="F10" s="65" t="n"/>
      <c r="G10" s="58" t="n"/>
      <c r="H10" s="58" t="n"/>
    </row>
    <row r="11">
      <c r="A11" s="33">
        <f>Inputs!A132</f>
        <v/>
      </c>
      <c r="B11" s="33">
        <f>Inputs!B132</f>
        <v/>
      </c>
      <c r="C11" s="33">
        <f>Inputs!C132</f>
        <v/>
      </c>
      <c r="D11" s="33">
        <f>Inputs!D132</f>
        <v/>
      </c>
      <c r="E11" s="65" t="n"/>
      <c r="F11" s="65" t="n"/>
      <c r="G11" s="58" t="n"/>
      <c r="H11" s="58" t="n"/>
    </row>
    <row r="12">
      <c r="A12" s="33">
        <f>Inputs!A133</f>
        <v/>
      </c>
      <c r="B12" s="33">
        <f>Inputs!B133</f>
        <v/>
      </c>
      <c r="C12" s="33">
        <f>Inputs!C133</f>
        <v/>
      </c>
      <c r="D12" s="33">
        <f>Inputs!D133</f>
        <v/>
      </c>
      <c r="E12" s="65" t="n"/>
      <c r="F12" s="65" t="n"/>
      <c r="G12" s="58" t="n"/>
      <c r="H12" s="58" t="n"/>
    </row>
    <row r="13">
      <c r="A13" s="33">
        <f>Inputs!A134</f>
        <v/>
      </c>
      <c r="B13" s="33">
        <f>Inputs!B134</f>
        <v/>
      </c>
      <c r="C13" s="33">
        <f>Inputs!C134</f>
        <v/>
      </c>
      <c r="D13" s="33">
        <f>Inputs!D134</f>
        <v/>
      </c>
      <c r="E13" s="65" t="n"/>
      <c r="F13" s="65" t="n"/>
      <c r="G13" s="58" t="n"/>
      <c r="H13" s="58" t="n"/>
    </row>
    <row r="14">
      <c r="A14" s="33">
        <f>Inputs!A135</f>
        <v/>
      </c>
      <c r="B14" s="33">
        <f>Inputs!B135</f>
        <v/>
      </c>
      <c r="C14" s="33">
        <f>Inputs!C135</f>
        <v/>
      </c>
      <c r="D14" s="33">
        <f>Inputs!D135</f>
        <v/>
      </c>
      <c r="E14" s="65" t="n"/>
      <c r="F14" s="65" t="n"/>
      <c r="G14" s="58" t="n"/>
      <c r="H14" s="58" t="n"/>
    </row>
    <row r="15">
      <c r="A15" s="33">
        <f>Inputs!A136</f>
        <v/>
      </c>
      <c r="B15" s="33">
        <f>Inputs!B136</f>
        <v/>
      </c>
      <c r="C15" s="33">
        <f>Inputs!C136</f>
        <v/>
      </c>
      <c r="D15" s="33">
        <f>Inputs!D136</f>
        <v/>
      </c>
      <c r="E15" s="65" t="n"/>
      <c r="F15" s="65" t="n"/>
      <c r="G15" s="58" t="n"/>
      <c r="H15" s="58" t="n"/>
    </row>
    <row r="16">
      <c r="A16" s="33">
        <f>Inputs!A137</f>
        <v/>
      </c>
      <c r="B16" s="33">
        <f>Inputs!B137</f>
        <v/>
      </c>
      <c r="C16" s="33">
        <f>Inputs!C137</f>
        <v/>
      </c>
      <c r="D16" s="33">
        <f>Inputs!D137</f>
        <v/>
      </c>
      <c r="E16" s="65" t="n"/>
      <c r="F16" s="65" t="n"/>
      <c r="G16" s="58" t="n"/>
      <c r="H16" s="58" t="n"/>
    </row>
    <row r="17">
      <c r="A17" s="33">
        <f>Inputs!A138</f>
        <v/>
      </c>
      <c r="B17" s="33">
        <f>Inputs!B138</f>
        <v/>
      </c>
      <c r="C17" s="33">
        <f>Inputs!C138</f>
        <v/>
      </c>
      <c r="D17" s="33">
        <f>Inputs!D138</f>
        <v/>
      </c>
      <c r="E17" s="65" t="n"/>
      <c r="F17" s="65" t="n"/>
      <c r="G17" s="58" t="n"/>
      <c r="H17" s="58" t="n"/>
    </row>
    <row r="18">
      <c r="A18" s="33">
        <f>Inputs!A139</f>
        <v/>
      </c>
      <c r="B18" s="33">
        <f>Inputs!B139</f>
        <v/>
      </c>
      <c r="C18" s="33">
        <f>Inputs!C139</f>
        <v/>
      </c>
      <c r="D18" s="33">
        <f>Inputs!D139</f>
        <v/>
      </c>
      <c r="E18" s="65" t="n"/>
      <c r="F18" s="65" t="n"/>
      <c r="G18" s="58" t="n"/>
      <c r="H18" s="58" t="n"/>
    </row>
    <row r="19">
      <c r="A19" s="33">
        <f>Inputs!A140</f>
        <v/>
      </c>
      <c r="B19" s="33">
        <f>Inputs!B140</f>
        <v/>
      </c>
      <c r="C19" s="33">
        <f>Inputs!C140</f>
        <v/>
      </c>
      <c r="D19" s="33">
        <f>Inputs!D140</f>
        <v/>
      </c>
      <c r="E19" s="65" t="n"/>
      <c r="F19" s="65" t="n"/>
      <c r="G19" s="58" t="n"/>
      <c r="H19" s="58" t="n"/>
    </row>
    <row r="20">
      <c r="A20" s="33">
        <f>Inputs!A141</f>
        <v/>
      </c>
      <c r="B20" s="33">
        <f>Inputs!B141</f>
        <v/>
      </c>
      <c r="C20" s="33">
        <f>Inputs!C141</f>
        <v/>
      </c>
      <c r="D20" s="33">
        <f>Inputs!D141</f>
        <v/>
      </c>
      <c r="E20" s="65" t="n"/>
      <c r="F20" s="65" t="n"/>
      <c r="G20" s="58" t="n"/>
      <c r="H20" s="58" t="n"/>
    </row>
    <row r="21">
      <c r="A21" s="33">
        <f>Inputs!A142</f>
        <v/>
      </c>
      <c r="B21" s="33">
        <f>Inputs!B142</f>
        <v/>
      </c>
      <c r="C21" s="33">
        <f>Inputs!C142</f>
        <v/>
      </c>
      <c r="D21" s="33">
        <f>Inputs!D142</f>
        <v/>
      </c>
      <c r="E21" s="65" t="n"/>
      <c r="F21" s="65" t="n"/>
      <c r="G21" s="58" t="n"/>
      <c r="H21" s="58" t="n"/>
    </row>
    <row r="22">
      <c r="A22" s="33">
        <f>Inputs!A143</f>
        <v/>
      </c>
      <c r="B22" s="33">
        <f>Inputs!B143</f>
        <v/>
      </c>
      <c r="C22" s="33">
        <f>Inputs!C143</f>
        <v/>
      </c>
      <c r="D22" s="33">
        <f>Inputs!D143</f>
        <v/>
      </c>
      <c r="E22" s="65" t="n"/>
      <c r="F22" s="65" t="n"/>
      <c r="G22" s="58" t="n"/>
      <c r="H22" s="58" t="n"/>
    </row>
    <row r="23">
      <c r="A23" s="33">
        <f>Inputs!A144</f>
        <v/>
      </c>
      <c r="B23" s="33">
        <f>Inputs!B144</f>
        <v/>
      </c>
      <c r="C23" s="33">
        <f>Inputs!C144</f>
        <v/>
      </c>
      <c r="D23" s="33">
        <f>Inputs!D144</f>
        <v/>
      </c>
      <c r="E23" s="65" t="n"/>
      <c r="F23" s="65" t="n"/>
      <c r="G23" s="58" t="n"/>
      <c r="H23" s="58" t="n"/>
    </row>
    <row r="24">
      <c r="A24" s="33">
        <f>Inputs!A145</f>
        <v/>
      </c>
      <c r="B24" s="33">
        <f>Inputs!B145</f>
        <v/>
      </c>
      <c r="C24" s="33">
        <f>Inputs!C145</f>
        <v/>
      </c>
      <c r="D24" s="33">
        <f>Inputs!D145</f>
        <v/>
      </c>
      <c r="E24" s="65" t="n"/>
      <c r="F24" s="65" t="n"/>
      <c r="G24" s="58" t="n"/>
      <c r="H24" s="58" t="n"/>
    </row>
    <row r="25">
      <c r="A25" s="33">
        <f>Inputs!A146</f>
        <v/>
      </c>
      <c r="B25" s="33">
        <f>Inputs!B146</f>
        <v/>
      </c>
      <c r="C25" s="33">
        <f>Inputs!C146</f>
        <v/>
      </c>
      <c r="D25" s="33">
        <f>Inputs!D146</f>
        <v/>
      </c>
      <c r="E25" s="65" t="n"/>
      <c r="F25" s="65" t="n"/>
      <c r="G25" s="58" t="n"/>
      <c r="H25" s="58" t="n"/>
    </row>
    <row r="26">
      <c r="A26" s="33">
        <f>Inputs!A147</f>
        <v/>
      </c>
      <c r="B26" s="33">
        <f>Inputs!B147</f>
        <v/>
      </c>
      <c r="C26" s="33">
        <f>Inputs!C147</f>
        <v/>
      </c>
      <c r="D26" s="33">
        <f>Inputs!D147</f>
        <v/>
      </c>
      <c r="E26" s="65" t="n"/>
      <c r="F26" s="65" t="n"/>
      <c r="G26" s="58" t="n"/>
      <c r="H26" s="58" t="n"/>
    </row>
    <row r="27">
      <c r="A27" s="33">
        <f>Inputs!A148</f>
        <v/>
      </c>
      <c r="B27" s="33">
        <f>Inputs!B148</f>
        <v/>
      </c>
      <c r="C27" s="33">
        <f>Inputs!C148</f>
        <v/>
      </c>
      <c r="D27" s="33">
        <f>Inputs!D148</f>
        <v/>
      </c>
      <c r="E27" s="65" t="n"/>
      <c r="F27" s="65" t="n"/>
      <c r="G27" s="58" t="n"/>
      <c r="H27" s="58" t="n"/>
    </row>
    <row r="28">
      <c r="A28" s="33">
        <f>Inputs!A149</f>
        <v/>
      </c>
      <c r="B28" s="33">
        <f>Inputs!B149</f>
        <v/>
      </c>
      <c r="C28" s="33">
        <f>Inputs!C149</f>
        <v/>
      </c>
      <c r="D28" s="33">
        <f>Inputs!D149</f>
        <v/>
      </c>
      <c r="E28" s="65" t="n"/>
      <c r="F28" s="65" t="n"/>
      <c r="G28" s="58" t="n"/>
      <c r="H28" s="58" t="n"/>
    </row>
    <row r="29">
      <c r="A29" s="33">
        <f>Inputs!A150</f>
        <v/>
      </c>
      <c r="B29" s="33">
        <f>Inputs!B150</f>
        <v/>
      </c>
      <c r="C29" s="33">
        <f>Inputs!C150</f>
        <v/>
      </c>
      <c r="D29" s="33">
        <f>Inputs!D150</f>
        <v/>
      </c>
      <c r="E29" s="65" t="n"/>
      <c r="F29" s="65" t="n"/>
      <c r="G29" s="58" t="n"/>
      <c r="H29" s="58" t="n"/>
    </row>
    <row r="30">
      <c r="A30" s="33">
        <f>Inputs!A151</f>
        <v/>
      </c>
      <c r="B30" s="33">
        <f>Inputs!B151</f>
        <v/>
      </c>
      <c r="C30" s="33">
        <f>Inputs!C151</f>
        <v/>
      </c>
      <c r="D30" s="33">
        <f>Inputs!D151</f>
        <v/>
      </c>
      <c r="E30" s="65" t="n"/>
      <c r="F30" s="65" t="n"/>
      <c r="G30" s="58" t="n"/>
      <c r="H30" s="58" t="n"/>
    </row>
    <row r="31">
      <c r="A31" s="33">
        <f>Inputs!A152</f>
        <v/>
      </c>
      <c r="B31" s="33">
        <f>Inputs!B152</f>
        <v/>
      </c>
      <c r="C31" s="33">
        <f>Inputs!C152</f>
        <v/>
      </c>
      <c r="D31" s="33">
        <f>Inputs!D152</f>
        <v/>
      </c>
      <c r="E31" s="65" t="n"/>
      <c r="F31" s="65" t="n"/>
      <c r="G31" s="58" t="n"/>
      <c r="H31" s="58" t="n"/>
    </row>
    <row r="32">
      <c r="A32" s="33">
        <f>Inputs!A153</f>
        <v/>
      </c>
      <c r="B32" s="33">
        <f>Inputs!B153</f>
        <v/>
      </c>
      <c r="C32" s="33">
        <f>Inputs!C153</f>
        <v/>
      </c>
      <c r="D32" s="33">
        <f>Inputs!D153</f>
        <v/>
      </c>
      <c r="E32" s="65" t="n"/>
      <c r="F32" s="65" t="n"/>
      <c r="G32" s="58" t="n"/>
      <c r="H32" s="58" t="n"/>
    </row>
    <row r="33">
      <c r="A33" s="33">
        <f>Inputs!A154</f>
        <v/>
      </c>
      <c r="B33" s="33">
        <f>Inputs!B154</f>
        <v/>
      </c>
      <c r="C33" s="33">
        <f>Inputs!C154</f>
        <v/>
      </c>
      <c r="D33" s="33">
        <f>Inputs!D154</f>
        <v/>
      </c>
      <c r="E33" s="65" t="n"/>
      <c r="F33" s="65" t="n"/>
      <c r="G33" s="58" t="n"/>
      <c r="H33" s="58" t="n"/>
    </row>
    <row r="34">
      <c r="A34" s="33">
        <f>Inputs!A155</f>
        <v/>
      </c>
      <c r="B34" s="33">
        <f>Inputs!B155</f>
        <v/>
      </c>
      <c r="C34" s="33">
        <f>Inputs!C155</f>
        <v/>
      </c>
      <c r="D34" s="33">
        <f>Inputs!D155</f>
        <v/>
      </c>
      <c r="E34" s="65" t="n"/>
      <c r="F34" s="65" t="n"/>
      <c r="G34" s="58" t="n"/>
      <c r="H34" s="58" t="n"/>
    </row>
    <row r="35">
      <c r="A35" s="33">
        <f>Inputs!A156</f>
        <v/>
      </c>
      <c r="B35" s="33">
        <f>Inputs!B156</f>
        <v/>
      </c>
      <c r="C35" s="33">
        <f>Inputs!C156</f>
        <v/>
      </c>
      <c r="D35" s="33">
        <f>Inputs!D156</f>
        <v/>
      </c>
      <c r="E35" s="65" t="n"/>
      <c r="F35" s="65" t="n"/>
      <c r="G35" s="58" t="n"/>
      <c r="H35" s="58" t="n"/>
    </row>
    <row r="37">
      <c r="D37" s="44" t="inlineStr">
        <is>
          <t>Maximum</t>
        </is>
      </c>
      <c r="E37" s="66">
        <f>IFERROR(MAX(E6:E35),"n/a")</f>
        <v/>
      </c>
      <c r="F37" s="66">
        <f>IFERROR(MAX(F6:F35),"n/a")</f>
        <v/>
      </c>
      <c r="G37" s="60">
        <f>IFERROR(MAX(G6:G35),"n/a")</f>
        <v/>
      </c>
      <c r="H37" s="60">
        <f>IFERROR(MAX(H6:H35),"n/a")</f>
        <v/>
      </c>
    </row>
    <row r="38">
      <c r="D38" s="44" t="inlineStr">
        <is>
          <t>Q3 (75%)</t>
        </is>
      </c>
      <c r="E38" s="66">
        <f>IFERROR(QUARTILE(E6:E35,3),"n/a")</f>
        <v/>
      </c>
      <c r="F38" s="66">
        <f>IFERROR(QUARTILE(F6:F35,3),"n/a")</f>
        <v/>
      </c>
      <c r="G38" s="60">
        <f>IFERROR(QUARTILE(G6:G35,3),"n/a")</f>
        <v/>
      </c>
      <c r="H38" s="60">
        <f>IFERROR(QUARTILE(H6:H35,3),"n/a")</f>
        <v/>
      </c>
    </row>
    <row r="39">
      <c r="D39" s="44" t="inlineStr">
        <is>
          <t>Median</t>
        </is>
      </c>
      <c r="E39" s="67">
        <f>IFERROR(MEDIAN(E6:E35),"n/a")</f>
        <v/>
      </c>
      <c r="F39" s="67">
        <f>IFERROR(MEDIAN(F6:F35),"n/a")</f>
        <v/>
      </c>
      <c r="G39" s="62">
        <f>IFERROR(MEDIAN(G6:G35),"n/a")</f>
        <v/>
      </c>
      <c r="H39" s="62">
        <f>IFERROR(MEDIAN(H6:H35),"n/a")</f>
        <v/>
      </c>
    </row>
    <row r="40">
      <c r="D40" s="44" t="inlineStr">
        <is>
          <t>Mean</t>
        </is>
      </c>
      <c r="E40" s="66">
        <f>IFERROR(AVERAGE(E6:E35),"n/a")</f>
        <v/>
      </c>
      <c r="F40" s="66">
        <f>IFERROR(AVERAGE(F6:F35),"n/a")</f>
        <v/>
      </c>
      <c r="G40" s="60">
        <f>IFERROR(AVERAGE(G6:G35),"n/a")</f>
        <v/>
      </c>
      <c r="H40" s="60">
        <f>IFERROR(AVERAGE(H6:H35),"n/a")</f>
        <v/>
      </c>
    </row>
    <row r="41">
      <c r="D41" s="44" t="inlineStr">
        <is>
          <t>Q1 (25%)</t>
        </is>
      </c>
      <c r="E41" s="66">
        <f>IFERROR(QUARTILE(E6:E35,1),"n/a")</f>
        <v/>
      </c>
      <c r="F41" s="66">
        <f>IFERROR(QUARTILE(F6:F35,1),"n/a")</f>
        <v/>
      </c>
      <c r="G41" s="60">
        <f>IFERROR(QUARTILE(G6:G35,1),"n/a")</f>
        <v/>
      </c>
      <c r="H41" s="60">
        <f>IFERROR(QUARTILE(H6:H35,1),"n/a")</f>
        <v/>
      </c>
    </row>
    <row r="42">
      <c r="D42" s="44" t="inlineStr">
        <is>
          <t>Minimum</t>
        </is>
      </c>
      <c r="E42" s="66">
        <f>IFERROR(MIN(E6:E35),"n/a")</f>
        <v/>
      </c>
      <c r="F42" s="66">
        <f>IFERROR(MIN(F6:F35),"n/a")</f>
        <v/>
      </c>
      <c r="G42" s="60">
        <f>IFERROR(MIN(G6:G35),"n/a")</f>
        <v/>
      </c>
      <c r="H42" s="60">
        <f>IFERROR(MIN(H6:H35),"n/a")</f>
        <v/>
      </c>
    </row>
    <row r="44">
      <c r="D44" s="3" t="inlineStr">
        <is>
          <t>Tier-filtered (include=TRUE)</t>
        </is>
      </c>
    </row>
    <row r="45">
      <c r="D45" s="4" t="inlineStr">
        <is>
          <t>Tier 1 mean</t>
        </is>
      </c>
      <c r="E45" s="42">
        <f>IFERROR(AVERAGEIFS(E6:E35,$A$6:$A$35,1,$B$6:$B$35,TRUE),"n/a")</f>
        <v/>
      </c>
      <c r="F45" s="42">
        <f>IFERROR(AVERAGEIFS(F6:F35,$A$6:$A$35,1,$B$6:$B$35,TRUE),"n/a")</f>
        <v/>
      </c>
      <c r="G45" s="48">
        <f>IFERROR(AVERAGEIFS(G6:G35,$A$6:$A$35,1,$B$6:$B$35,TRUE),"n/a")</f>
        <v/>
      </c>
      <c r="H45" s="48">
        <f>IFERROR(AVERAGEIFS(H6:H35,$A$6:$A$35,1,$B$6:$B$35,TRUE),"n/a")</f>
        <v/>
      </c>
    </row>
    <row r="46">
      <c r="D46" s="4" t="inlineStr">
        <is>
          <t>Tier 2 mean</t>
        </is>
      </c>
      <c r="E46" s="42">
        <f>IFERROR(AVERAGEIFS(E6:E35,$A$6:$A$35,2,$B$6:$B$35,TRUE),"n/a")</f>
        <v/>
      </c>
      <c r="F46" s="42">
        <f>IFERROR(AVERAGEIFS(F6:F35,$A$6:$A$35,2,$B$6:$B$35,TRUE),"n/a")</f>
        <v/>
      </c>
      <c r="G46" s="48">
        <f>IFERROR(AVERAGEIFS(G6:G35,$A$6:$A$35,2,$B$6:$B$35,TRUE),"n/a")</f>
        <v/>
      </c>
      <c r="H46" s="48">
        <f>IFERROR(AVERAGEIFS(H6:H35,$A$6:$A$35,2,$B$6:$B$35,TRUE),"n/a")</f>
        <v/>
      </c>
    </row>
    <row r="47">
      <c r="D47" s="4" t="inlineStr">
        <is>
          <t>Tier 3 mean</t>
        </is>
      </c>
      <c r="E47" s="42">
        <f>IFERROR(AVERAGEIFS(E6:E35,$A$6:$A$35,3,$B$6:$B$35,TRUE),"n/a")</f>
        <v/>
      </c>
      <c r="F47" s="42">
        <f>IFERROR(AVERAGEIFS(F6:F35,$A$6:$A$35,3,$B$6:$B$35,TRUE),"n/a")</f>
        <v/>
      </c>
      <c r="G47" s="48">
        <f>IFERROR(AVERAGEIFS(G6:G35,$A$6:$A$35,3,$B$6:$B$35,TRUE),"n/a")</f>
        <v/>
      </c>
      <c r="H47" s="48">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8"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6" t="n">
        <v>0.0457</v>
      </c>
      <c r="E5" s="56" t="n">
        <v>0</v>
      </c>
      <c r="F5" s="56" t="n">
        <v>0.21</v>
      </c>
      <c r="G5" s="33" t="inlineStr">
        <is>
          <t>North America</t>
        </is>
      </c>
    </row>
    <row r="6">
      <c r="A6" s="33" t="inlineStr">
        <is>
          <t>United Kingdom</t>
        </is>
      </c>
      <c r="B6" s="33" t="inlineStr">
        <is>
          <t>GB</t>
        </is>
      </c>
      <c r="C6" s="33" t="inlineStr">
        <is>
          <t>Aa3</t>
        </is>
      </c>
      <c r="D6" s="56" t="n">
        <v>0.0507</v>
      </c>
      <c r="E6" s="56" t="n">
        <v>0.005</v>
      </c>
      <c r="F6" s="56" t="n">
        <v>0.25</v>
      </c>
      <c r="G6" s="33" t="inlineStr">
        <is>
          <t>Western Europe</t>
        </is>
      </c>
    </row>
    <row r="7">
      <c r="A7" s="33" t="inlineStr">
        <is>
          <t>Germany</t>
        </is>
      </c>
      <c r="B7" s="33" t="inlineStr">
        <is>
          <t>DE</t>
        </is>
      </c>
      <c r="C7" s="33" t="inlineStr">
        <is>
          <t>Aaa</t>
        </is>
      </c>
      <c r="D7" s="56" t="n">
        <v>0.0457</v>
      </c>
      <c r="E7" s="56" t="n">
        <v>0</v>
      </c>
      <c r="F7" s="56" t="n">
        <v>0.298</v>
      </c>
      <c r="G7" s="33" t="inlineStr">
        <is>
          <t>Western Europe</t>
        </is>
      </c>
    </row>
    <row r="8">
      <c r="A8" s="33" t="inlineStr">
        <is>
          <t>France</t>
        </is>
      </c>
      <c r="B8" s="33" t="inlineStr">
        <is>
          <t>FR</t>
        </is>
      </c>
      <c r="C8" s="33" t="inlineStr">
        <is>
          <t>Aa3</t>
        </is>
      </c>
      <c r="D8" s="56" t="n">
        <v>0.0507</v>
      </c>
      <c r="E8" s="56" t="n">
        <v>0.005</v>
      </c>
      <c r="F8" s="56" t="n">
        <v>0.258</v>
      </c>
      <c r="G8" s="33" t="inlineStr">
        <is>
          <t>Western Europe</t>
        </is>
      </c>
    </row>
    <row r="9">
      <c r="A9" s="33" t="inlineStr">
        <is>
          <t>Switzerland</t>
        </is>
      </c>
      <c r="B9" s="33" t="inlineStr">
        <is>
          <t>CH</t>
        </is>
      </c>
      <c r="C9" s="33" t="inlineStr">
        <is>
          <t>Aaa</t>
        </is>
      </c>
      <c r="D9" s="56" t="n">
        <v>0.0457</v>
      </c>
      <c r="E9" s="56" t="n">
        <v>0</v>
      </c>
      <c r="F9" s="56" t="n">
        <v>0.144</v>
      </c>
      <c r="G9" s="33" t="inlineStr">
        <is>
          <t>Western Europe</t>
        </is>
      </c>
    </row>
    <row r="10">
      <c r="A10" s="33" t="inlineStr">
        <is>
          <t>Netherlands</t>
        </is>
      </c>
      <c r="B10" s="33" t="inlineStr">
        <is>
          <t>NL</t>
        </is>
      </c>
      <c r="C10" s="33" t="inlineStr">
        <is>
          <t>Aaa</t>
        </is>
      </c>
      <c r="D10" s="56" t="n">
        <v>0.0457</v>
      </c>
      <c r="E10" s="56" t="n">
        <v>0</v>
      </c>
      <c r="F10" s="56" t="n">
        <v>0.258</v>
      </c>
      <c r="G10" s="33" t="inlineStr">
        <is>
          <t>Western Europe</t>
        </is>
      </c>
    </row>
    <row r="11">
      <c r="A11" s="33" t="inlineStr">
        <is>
          <t>Australia</t>
        </is>
      </c>
      <c r="B11" s="33" t="inlineStr">
        <is>
          <t>AU</t>
        </is>
      </c>
      <c r="C11" s="33" t="inlineStr">
        <is>
          <t>Aaa</t>
        </is>
      </c>
      <c r="D11" s="56" t="n">
        <v>0.0457</v>
      </c>
      <c r="E11" s="56" t="n">
        <v>0</v>
      </c>
      <c r="F11" s="56" t="n">
        <v>0.3</v>
      </c>
      <c r="G11" s="33" t="inlineStr">
        <is>
          <t>Australia &amp; NZ</t>
        </is>
      </c>
    </row>
    <row r="12">
      <c r="A12" s="33" t="inlineStr">
        <is>
          <t>New Zealand</t>
        </is>
      </c>
      <c r="B12" s="33" t="inlineStr">
        <is>
          <t>NZ</t>
        </is>
      </c>
      <c r="C12" s="33" t="inlineStr">
        <is>
          <t>Aaa</t>
        </is>
      </c>
      <c r="D12" s="56" t="n">
        <v>0.0457</v>
      </c>
      <c r="E12" s="56" t="n">
        <v>0</v>
      </c>
      <c r="F12" s="56" t="n">
        <v>0.28</v>
      </c>
      <c r="G12" s="33" t="inlineStr">
        <is>
          <t>Australia &amp; NZ</t>
        </is>
      </c>
    </row>
    <row r="13">
      <c r="A13" s="33" t="inlineStr">
        <is>
          <t>Canada</t>
        </is>
      </c>
      <c r="B13" s="33" t="inlineStr">
        <is>
          <t>CA</t>
        </is>
      </c>
      <c r="C13" s="33" t="inlineStr">
        <is>
          <t>Aaa</t>
        </is>
      </c>
      <c r="D13" s="56" t="n">
        <v>0.0457</v>
      </c>
      <c r="E13" s="56" t="n">
        <v>0</v>
      </c>
      <c r="F13" s="56" t="n">
        <v>0.265</v>
      </c>
      <c r="G13" s="33" t="inlineStr">
        <is>
          <t>North America</t>
        </is>
      </c>
    </row>
    <row r="14">
      <c r="A14" s="33" t="inlineStr">
        <is>
          <t>Japan</t>
        </is>
      </c>
      <c r="B14" s="33" t="inlineStr">
        <is>
          <t>JP</t>
        </is>
      </c>
      <c r="C14" s="33" t="inlineStr">
        <is>
          <t>A1</t>
        </is>
      </c>
      <c r="D14" s="56" t="n">
        <v>0.0567</v>
      </c>
      <c r="E14" s="56" t="n">
        <v>0.011</v>
      </c>
      <c r="F14" s="56" t="n">
        <v>0.305</v>
      </c>
      <c r="G14" s="33" t="inlineStr">
        <is>
          <t>Asia</t>
        </is>
      </c>
    </row>
    <row r="15">
      <c r="A15" s="33" t="inlineStr">
        <is>
          <t>South Korea</t>
        </is>
      </c>
      <c r="B15" s="33" t="inlineStr">
        <is>
          <t>KR</t>
        </is>
      </c>
      <c r="C15" s="33" t="inlineStr">
        <is>
          <t>Aa2</t>
        </is>
      </c>
      <c r="D15" s="56" t="n">
        <v>0.0489</v>
      </c>
      <c r="E15" s="56" t="n">
        <v>0.0032</v>
      </c>
      <c r="F15" s="56" t="n">
        <v>0.275</v>
      </c>
      <c r="G15" s="33" t="inlineStr">
        <is>
          <t>Asia</t>
        </is>
      </c>
    </row>
    <row r="16">
      <c r="A16" s="33" t="inlineStr">
        <is>
          <t>Taiwan</t>
        </is>
      </c>
      <c r="B16" s="33" t="inlineStr">
        <is>
          <t>TW</t>
        </is>
      </c>
      <c r="C16" s="33" t="inlineStr">
        <is>
          <t>Aa3</t>
        </is>
      </c>
      <c r="D16" s="56" t="n">
        <v>0.0507</v>
      </c>
      <c r="E16" s="56" t="n">
        <v>0.005</v>
      </c>
      <c r="F16" s="56" t="n">
        <v>0.2</v>
      </c>
      <c r="G16" s="33" t="inlineStr">
        <is>
          <t>Asia</t>
        </is>
      </c>
    </row>
    <row r="17">
      <c r="A17" s="33" t="inlineStr">
        <is>
          <t>China</t>
        </is>
      </c>
      <c r="B17" s="33" t="inlineStr">
        <is>
          <t>CN</t>
        </is>
      </c>
      <c r="C17" s="33" t="inlineStr">
        <is>
          <t>A1</t>
        </is>
      </c>
      <c r="D17" s="56" t="n">
        <v>0.0567</v>
      </c>
      <c r="E17" s="56" t="n">
        <v>0.011</v>
      </c>
      <c r="F17" s="56" t="n">
        <v>0.25</v>
      </c>
      <c r="G17" s="33" t="inlineStr">
        <is>
          <t>Asia</t>
        </is>
      </c>
    </row>
    <row r="18">
      <c r="A18" s="33" t="inlineStr">
        <is>
          <t>Hong Kong</t>
        </is>
      </c>
      <c r="B18" s="33" t="inlineStr">
        <is>
          <t>HK</t>
        </is>
      </c>
      <c r="C18" s="33" t="inlineStr">
        <is>
          <t>Aa3</t>
        </is>
      </c>
      <c r="D18" s="56" t="n">
        <v>0.0507</v>
      </c>
      <c r="E18" s="56" t="n">
        <v>0.005</v>
      </c>
      <c r="F18" s="56" t="n">
        <v>0.165</v>
      </c>
      <c r="G18" s="33" t="inlineStr">
        <is>
          <t>Asia</t>
        </is>
      </c>
    </row>
    <row r="19">
      <c r="A19" s="33" t="inlineStr">
        <is>
          <t>Singapore</t>
        </is>
      </c>
      <c r="B19" s="33" t="inlineStr">
        <is>
          <t>SG</t>
        </is>
      </c>
      <c r="C19" s="33" t="inlineStr">
        <is>
          <t>Aaa</t>
        </is>
      </c>
      <c r="D19" s="56" t="n">
        <v>0.0457</v>
      </c>
      <c r="E19" s="56" t="n">
        <v>0</v>
      </c>
      <c r="F19" s="56" t="n">
        <v>0.17</v>
      </c>
      <c r="G19" s="33" t="inlineStr">
        <is>
          <t>Asia</t>
        </is>
      </c>
    </row>
    <row r="20">
      <c r="A20" s="33" t="inlineStr">
        <is>
          <t>Malaysia</t>
        </is>
      </c>
      <c r="B20" s="33" t="inlineStr">
        <is>
          <t>MY</t>
        </is>
      </c>
      <c r="C20" s="33" t="inlineStr">
        <is>
          <t>A3</t>
        </is>
      </c>
      <c r="D20" s="56" t="n">
        <v>0.0623</v>
      </c>
      <c r="E20" s="56" t="n">
        <v>0.0166</v>
      </c>
      <c r="F20" s="56" t="n">
        <v>0.24</v>
      </c>
      <c r="G20" s="33" t="inlineStr">
        <is>
          <t>Asia</t>
        </is>
      </c>
    </row>
    <row r="21">
      <c r="A21" s="33" t="inlineStr">
        <is>
          <t>Thailand</t>
        </is>
      </c>
      <c r="B21" s="33" t="inlineStr">
        <is>
          <t>TH</t>
        </is>
      </c>
      <c r="C21" s="33" t="inlineStr">
        <is>
          <t>Baa1</t>
        </is>
      </c>
      <c r="D21" s="56" t="n">
        <v>0.06909999999999999</v>
      </c>
      <c r="E21" s="56" t="n">
        <v>0.0234</v>
      </c>
      <c r="F21" s="56" t="n">
        <v>0.2</v>
      </c>
      <c r="G21" s="33" t="inlineStr">
        <is>
          <t>Asia</t>
        </is>
      </c>
    </row>
    <row r="22">
      <c r="A22" s="33" t="inlineStr">
        <is>
          <t>Vietnam</t>
        </is>
      </c>
      <c r="B22" s="33" t="inlineStr">
        <is>
          <t>VN</t>
        </is>
      </c>
      <c r="C22" s="33" t="inlineStr">
        <is>
          <t>Ba2</t>
        </is>
      </c>
      <c r="D22" s="56" t="n">
        <v>0.08550000000000001</v>
      </c>
      <c r="E22" s="56" t="n">
        <v>0.0398</v>
      </c>
      <c r="F22" s="56" t="n">
        <v>0.2</v>
      </c>
      <c r="G22" s="33" t="inlineStr">
        <is>
          <t>Asia</t>
        </is>
      </c>
    </row>
    <row r="23">
      <c r="A23" s="33" t="inlineStr">
        <is>
          <t>Indonesia</t>
        </is>
      </c>
      <c r="B23" s="33" t="inlineStr">
        <is>
          <t>ID</t>
        </is>
      </c>
      <c r="C23" s="33" t="inlineStr">
        <is>
          <t>Baa2</t>
        </is>
      </c>
      <c r="D23" s="56" t="n">
        <v>0.0735</v>
      </c>
      <c r="E23" s="56" t="n">
        <v>0.0278</v>
      </c>
      <c r="F23" s="56" t="n">
        <v>0.22</v>
      </c>
      <c r="G23" s="33" t="inlineStr">
        <is>
          <t>Asia</t>
        </is>
      </c>
    </row>
    <row r="24">
      <c r="A24" s="33" t="inlineStr">
        <is>
          <t>Philippines</t>
        </is>
      </c>
      <c r="B24" s="33" t="inlineStr">
        <is>
          <t>PH</t>
        </is>
      </c>
      <c r="C24" s="33" t="inlineStr">
        <is>
          <t>Baa2</t>
        </is>
      </c>
      <c r="D24" s="56" t="n">
        <v>0.0735</v>
      </c>
      <c r="E24" s="56" t="n">
        <v>0.0278</v>
      </c>
      <c r="F24" s="56" t="n">
        <v>0.25</v>
      </c>
      <c r="G24" s="33" t="inlineStr">
        <is>
          <t>Asia</t>
        </is>
      </c>
    </row>
    <row r="25">
      <c r="A25" s="33" t="inlineStr">
        <is>
          <t>India</t>
        </is>
      </c>
      <c r="B25" s="33" t="inlineStr">
        <is>
          <t>IN</t>
        </is>
      </c>
      <c r="C25" s="33" t="inlineStr">
        <is>
          <t>Baa3</t>
        </is>
      </c>
      <c r="D25" s="56" t="n">
        <v>0.0786</v>
      </c>
      <c r="E25" s="56" t="n">
        <v>0.0329</v>
      </c>
      <c r="F25" s="56" t="n">
        <v>0.252</v>
      </c>
      <c r="G25" s="33" t="inlineStr">
        <is>
          <t>Asia</t>
        </is>
      </c>
    </row>
    <row r="26">
      <c r="A26" s="33" t="inlineStr">
        <is>
          <t>Pakistan</t>
        </is>
      </c>
      <c r="B26" s="33" t="inlineStr">
        <is>
          <t>PK</t>
        </is>
      </c>
      <c r="C26" s="33" t="inlineStr">
        <is>
          <t>Caa2</t>
        </is>
      </c>
      <c r="D26" s="56" t="n">
        <v>0.1421</v>
      </c>
      <c r="E26" s="56" t="n">
        <v>0.0964</v>
      </c>
      <c r="F26" s="56" t="n">
        <v>0.29</v>
      </c>
      <c r="G26" s="33" t="inlineStr">
        <is>
          <t>Asia</t>
        </is>
      </c>
    </row>
    <row r="27">
      <c r="A27" s="33" t="inlineStr">
        <is>
          <t>Bangladesh</t>
        </is>
      </c>
      <c r="B27" s="33" t="inlineStr">
        <is>
          <t>BD</t>
        </is>
      </c>
      <c r="C27" s="33" t="inlineStr">
        <is>
          <t>B2</t>
        </is>
      </c>
      <c r="D27" s="56" t="n">
        <v>0.1142</v>
      </c>
      <c r="E27" s="56" t="n">
        <v>0.06850000000000001</v>
      </c>
      <c r="F27" s="56" t="n">
        <v>0.275</v>
      </c>
      <c r="G27" s="33" t="inlineStr">
        <is>
          <t>Asia</t>
        </is>
      </c>
    </row>
    <row r="28">
      <c r="A28" s="33" t="inlineStr">
        <is>
          <t>Cayman Islands</t>
        </is>
      </c>
      <c r="B28" s="33" t="inlineStr">
        <is>
          <t>KY</t>
        </is>
      </c>
      <c r="C28" s="33" t="inlineStr">
        <is>
          <t>Aa3</t>
        </is>
      </c>
      <c r="D28" s="56" t="n">
        <v>0.0507</v>
      </c>
      <c r="E28" s="56" t="n">
        <v>0.005</v>
      </c>
      <c r="F28" s="56" t="n">
        <v>0</v>
      </c>
      <c r="G28" s="33" t="inlineStr">
        <is>
          <t>Caribbean (offshore)</t>
        </is>
      </c>
    </row>
    <row r="29">
      <c r="A29" s="33" t="inlineStr">
        <is>
          <t>British Virgin Is.</t>
        </is>
      </c>
      <c r="B29" s="33" t="inlineStr">
        <is>
          <t>VG</t>
        </is>
      </c>
      <c r="C29" s="33" t="inlineStr">
        <is>
          <t>NA</t>
        </is>
      </c>
      <c r="D29" s="56" t="n">
        <v>0.0507</v>
      </c>
      <c r="E29" s="56" t="n">
        <v>0.005</v>
      </c>
      <c r="F29" s="56" t="n">
        <v>0</v>
      </c>
      <c r="G29" s="33" t="inlineStr">
        <is>
          <t>Caribbean (offshore)</t>
        </is>
      </c>
    </row>
    <row r="30">
      <c r="A30" s="33" t="inlineStr">
        <is>
          <t>Bermuda</t>
        </is>
      </c>
      <c r="B30" s="33" t="inlineStr">
        <is>
          <t>BM</t>
        </is>
      </c>
      <c r="C30" s="33" t="inlineStr">
        <is>
          <t>A2</t>
        </is>
      </c>
      <c r="D30" s="56" t="n">
        <v>0.0596</v>
      </c>
      <c r="E30" s="56" t="n">
        <v>0.0139</v>
      </c>
      <c r="F30" s="56" t="n">
        <v>0</v>
      </c>
      <c r="G30" s="33" t="inlineStr">
        <is>
          <t>Caribbean (offshore)</t>
        </is>
      </c>
    </row>
    <row r="31">
      <c r="A31" s="33" t="inlineStr">
        <is>
          <t>Brazil</t>
        </is>
      </c>
      <c r="B31" s="33" t="inlineStr">
        <is>
          <t>BR</t>
        </is>
      </c>
      <c r="C31" s="33" t="inlineStr">
        <is>
          <t>Ba2</t>
        </is>
      </c>
      <c r="D31" s="56" t="n">
        <v>0.08550000000000001</v>
      </c>
      <c r="E31" s="56" t="n">
        <v>0.0398</v>
      </c>
      <c r="F31" s="56" t="n">
        <v>0.34</v>
      </c>
      <c r="G31" s="33" t="inlineStr">
        <is>
          <t>Latin America</t>
        </is>
      </c>
    </row>
    <row r="32">
      <c r="A32" s="33" t="inlineStr">
        <is>
          <t>Mexico</t>
        </is>
      </c>
      <c r="B32" s="33" t="inlineStr">
        <is>
          <t>MX</t>
        </is>
      </c>
      <c r="C32" s="33" t="inlineStr">
        <is>
          <t>Baa2</t>
        </is>
      </c>
      <c r="D32" s="56" t="n">
        <v>0.0735</v>
      </c>
      <c r="E32" s="56" t="n">
        <v>0.0278</v>
      </c>
      <c r="F32" s="56" t="n">
        <v>0.3</v>
      </c>
      <c r="G32" s="33" t="inlineStr">
        <is>
          <t>Latin America</t>
        </is>
      </c>
    </row>
    <row r="33">
      <c r="A33" s="33" t="inlineStr">
        <is>
          <t>UAE</t>
        </is>
      </c>
      <c r="B33" s="33" t="inlineStr">
        <is>
          <t>AE</t>
        </is>
      </c>
      <c r="C33" s="33" t="inlineStr">
        <is>
          <t>Aa2</t>
        </is>
      </c>
      <c r="D33" s="56" t="n">
        <v>0.0489</v>
      </c>
      <c r="E33" s="56" t="n">
        <v>0.0032</v>
      </c>
      <c r="F33" s="56" t="n">
        <v>0.09</v>
      </c>
      <c r="G33" s="33" t="inlineStr">
        <is>
          <t>Middle East</t>
        </is>
      </c>
    </row>
    <row r="34">
      <c r="A34" s="33" t="inlineStr">
        <is>
          <t>Saudi Arabia</t>
        </is>
      </c>
      <c r="B34" s="33" t="inlineStr">
        <is>
          <t>SA</t>
        </is>
      </c>
      <c r="C34" s="33" t="inlineStr">
        <is>
          <t>Aa3</t>
        </is>
      </c>
      <c r="D34" s="56" t="n">
        <v>0.0507</v>
      </c>
      <c r="E34" s="56" t="n">
        <v>0.005</v>
      </c>
      <c r="F34" s="56" t="n">
        <v>0.2</v>
      </c>
      <c r="G34" s="33" t="inlineStr">
        <is>
          <t>Middle East</t>
        </is>
      </c>
    </row>
    <row r="35">
      <c r="A35" s="33" t="inlineStr">
        <is>
          <t>Israel</t>
        </is>
      </c>
      <c r="B35" s="33" t="inlineStr">
        <is>
          <t>IL</t>
        </is>
      </c>
      <c r="C35" s="33" t="inlineStr">
        <is>
          <t>A2</t>
        </is>
      </c>
      <c r="D35" s="56" t="n">
        <v>0.0596</v>
      </c>
      <c r="E35" s="56" t="n">
        <v>0.0139</v>
      </c>
      <c r="F35" s="56"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50" t="n">
        <v>0.97</v>
      </c>
      <c r="D5" s="54" t="n">
        <v>0.4</v>
      </c>
      <c r="E5" s="54" t="n">
        <v>0.16</v>
      </c>
      <c r="F5" s="54" t="n">
        <v>0.1</v>
      </c>
      <c r="G5" s="54" t="n">
        <v>0.018</v>
      </c>
      <c r="H5" s="54" t="n">
        <v>0.024</v>
      </c>
      <c r="I5" s="51" t="n">
        <v>14</v>
      </c>
    </row>
    <row r="6">
      <c r="A6" s="33" t="inlineStr">
        <is>
          <t>Aerospace/Defense</t>
        </is>
      </c>
      <c r="B6" s="33" t="n">
        <v>71</v>
      </c>
      <c r="C6" s="50" t="n">
        <v>0.92</v>
      </c>
      <c r="D6" s="54" t="n">
        <v>0.27</v>
      </c>
      <c r="E6" s="54" t="n">
        <v>0.18</v>
      </c>
      <c r="F6" s="54" t="n">
        <v>0.12</v>
      </c>
      <c r="G6" s="54" t="n">
        <v>0.03</v>
      </c>
      <c r="H6" s="54" t="n">
        <v>0.03</v>
      </c>
      <c r="I6" s="51" t="n">
        <v>16.5</v>
      </c>
    </row>
    <row r="7">
      <c r="A7" s="33" t="inlineStr">
        <is>
          <t>Auto &amp; Truck (manufacturers)</t>
        </is>
      </c>
      <c r="B7" s="33" t="n">
        <v>44</v>
      </c>
      <c r="C7" s="50" t="n">
        <v>0.95</v>
      </c>
      <c r="D7" s="54" t="n">
        <v>0.18</v>
      </c>
      <c r="E7" s="54" t="n">
        <v>0.12</v>
      </c>
      <c r="F7" s="54" t="n">
        <v>0.07000000000000001</v>
      </c>
      <c r="G7" s="54" t="n">
        <v>0.045</v>
      </c>
      <c r="H7" s="54" t="n">
        <v>0.04</v>
      </c>
      <c r="I7" s="51" t="n">
        <v>9.5</v>
      </c>
    </row>
    <row r="8">
      <c r="A8" s="33" t="inlineStr">
        <is>
          <t>Bank (Money Center)</t>
        </is>
      </c>
      <c r="B8" s="33" t="n">
        <v>17</v>
      </c>
      <c r="C8" s="50" t="n">
        <v>0.78</v>
      </c>
      <c r="D8" s="54" t="n">
        <v>0.55</v>
      </c>
      <c r="E8" s="54" t="n">
        <v>0.4</v>
      </c>
      <c r="F8" s="54" t="n">
        <v>0.35</v>
      </c>
      <c r="G8" s="54" t="n">
        <v>0.005</v>
      </c>
      <c r="H8" s="54" t="n">
        <v>0.01</v>
      </c>
      <c r="I8" s="51" t="n">
        <v>8.5</v>
      </c>
    </row>
    <row r="9">
      <c r="A9" s="33" t="inlineStr">
        <is>
          <t>Beverage (Alcoholic)</t>
        </is>
      </c>
      <c r="B9" s="33" t="n">
        <v>27</v>
      </c>
      <c r="C9" s="50" t="n">
        <v>0.62</v>
      </c>
      <c r="D9" s="54" t="n">
        <v>0.48</v>
      </c>
      <c r="E9" s="54" t="n">
        <v>0.27</v>
      </c>
      <c r="F9" s="54" t="n">
        <v>0.22</v>
      </c>
      <c r="G9" s="54" t="n">
        <v>0.04</v>
      </c>
      <c r="H9" s="54" t="n">
        <v>0.03</v>
      </c>
      <c r="I9" s="51" t="n">
        <v>14</v>
      </c>
    </row>
    <row r="10">
      <c r="A10" s="33" t="inlineStr">
        <is>
          <t>Beverage (Soft)</t>
        </is>
      </c>
      <c r="B10" s="33" t="n">
        <v>29</v>
      </c>
      <c r="C10" s="50" t="n">
        <v>0.71</v>
      </c>
      <c r="D10" s="54" t="n">
        <v>0.55</v>
      </c>
      <c r="E10" s="54" t="n">
        <v>0.28</v>
      </c>
      <c r="F10" s="54" t="n">
        <v>0.22</v>
      </c>
      <c r="G10" s="54" t="n">
        <v>0.045</v>
      </c>
      <c r="H10" s="54" t="n">
        <v>0.03</v>
      </c>
      <c r="I10" s="51" t="n">
        <v>16</v>
      </c>
    </row>
    <row r="11">
      <c r="A11" s="33" t="inlineStr">
        <is>
          <t>Biotechnology</t>
        </is>
      </c>
      <c r="B11" s="33" t="n">
        <v>532</v>
      </c>
      <c r="C11" s="50" t="n">
        <v>1.18</v>
      </c>
      <c r="D11" s="54" t="n">
        <v>0.6</v>
      </c>
      <c r="E11" s="54" t="n">
        <v>-0.1</v>
      </c>
      <c r="F11" s="54" t="n">
        <v>-0.3</v>
      </c>
      <c r="G11" s="54" t="n">
        <v>0.02</v>
      </c>
      <c r="H11" s="54" t="n">
        <v>0.03</v>
      </c>
      <c r="I11" s="51" t="n">
        <v>12</v>
      </c>
    </row>
    <row r="12">
      <c r="A12" s="33" t="inlineStr">
        <is>
          <t>Broadcasting</t>
        </is>
      </c>
      <c r="B12" s="33" t="n">
        <v>21</v>
      </c>
      <c r="C12" s="50" t="n">
        <v>0.95</v>
      </c>
      <c r="D12" s="54" t="n">
        <v>0.42</v>
      </c>
      <c r="E12" s="54" t="n">
        <v>0.32</v>
      </c>
      <c r="F12" s="54" t="n">
        <v>0.22</v>
      </c>
      <c r="G12" s="54" t="n">
        <v>0.02</v>
      </c>
      <c r="H12" s="54" t="n">
        <v>0.06</v>
      </c>
      <c r="I12" s="51" t="n">
        <v>8.5</v>
      </c>
    </row>
    <row r="13">
      <c r="A13" s="33" t="inlineStr">
        <is>
          <t>Building Materials</t>
        </is>
      </c>
      <c r="B13" s="33" t="n">
        <v>31</v>
      </c>
      <c r="C13" s="50" t="n">
        <v>1.08</v>
      </c>
      <c r="D13" s="54" t="n">
        <v>0.3</v>
      </c>
      <c r="E13" s="54" t="n">
        <v>0.18</v>
      </c>
      <c r="F13" s="54" t="n">
        <v>0.13</v>
      </c>
      <c r="G13" s="54" t="n">
        <v>0.04</v>
      </c>
      <c r="H13" s="54" t="n">
        <v>0.04</v>
      </c>
      <c r="I13" s="51" t="n">
        <v>9</v>
      </c>
    </row>
    <row r="14">
      <c r="A14" s="33" t="inlineStr">
        <is>
          <t>Business &amp; Consumer Services</t>
        </is>
      </c>
      <c r="B14" s="33" t="n">
        <v>168</v>
      </c>
      <c r="C14" s="50" t="n">
        <v>1.1</v>
      </c>
      <c r="D14" s="54" t="n">
        <v>0.45</v>
      </c>
      <c r="E14" s="54" t="n">
        <v>0.18</v>
      </c>
      <c r="F14" s="54" t="n">
        <v>0.12</v>
      </c>
      <c r="G14" s="54" t="n">
        <v>0.025</v>
      </c>
      <c r="H14" s="54" t="n">
        <v>0.035</v>
      </c>
      <c r="I14" s="51" t="n">
        <v>13</v>
      </c>
    </row>
    <row r="15">
      <c r="A15" s="33" t="inlineStr">
        <is>
          <t>Cable TV</t>
        </is>
      </c>
      <c r="B15" s="33" t="n">
        <v>10</v>
      </c>
      <c r="C15" s="50" t="n">
        <v>0.85</v>
      </c>
      <c r="D15" s="54" t="n">
        <v>0.55</v>
      </c>
      <c r="E15" s="54" t="n">
        <v>0.36</v>
      </c>
      <c r="F15" s="54" t="n">
        <v>0.2</v>
      </c>
      <c r="G15" s="54" t="n">
        <v>0.13</v>
      </c>
      <c r="H15" s="54" t="n">
        <v>0.14</v>
      </c>
      <c r="I15" s="51" t="n">
        <v>7</v>
      </c>
    </row>
    <row r="16">
      <c r="A16" s="33" t="inlineStr">
        <is>
          <t>Chemical (Diversified)</t>
        </is>
      </c>
      <c r="B16" s="33" t="n">
        <v>23</v>
      </c>
      <c r="C16" s="50" t="n">
        <v>1.04</v>
      </c>
      <c r="D16" s="54" t="n">
        <v>0.22</v>
      </c>
      <c r="E16" s="54" t="n">
        <v>0.16</v>
      </c>
      <c r="F16" s="54" t="n">
        <v>0.12</v>
      </c>
      <c r="G16" s="54" t="n">
        <v>0.04</v>
      </c>
      <c r="H16" s="54" t="n">
        <v>0.03</v>
      </c>
      <c r="I16" s="51" t="n">
        <v>9.5</v>
      </c>
    </row>
    <row r="17">
      <c r="A17" s="33" t="inlineStr">
        <is>
          <t>Computer Services</t>
        </is>
      </c>
      <c r="B17" s="33" t="n">
        <v>63</v>
      </c>
      <c r="C17" s="50" t="n">
        <v>1.15</v>
      </c>
      <c r="D17" s="54" t="n">
        <v>0.3</v>
      </c>
      <c r="E17" s="54" t="n">
        <v>0.18</v>
      </c>
      <c r="F17" s="54" t="n">
        <v>0.14</v>
      </c>
      <c r="G17" s="54" t="n">
        <v>0.025</v>
      </c>
      <c r="H17" s="54" t="n">
        <v>0.03</v>
      </c>
      <c r="I17" s="51" t="n">
        <v>14.5</v>
      </c>
    </row>
    <row r="18">
      <c r="A18" s="33" t="inlineStr">
        <is>
          <t>Computers/Peripherals</t>
        </is>
      </c>
      <c r="B18" s="33" t="n">
        <v>29</v>
      </c>
      <c r="C18" s="50" t="n">
        <v>1.2</v>
      </c>
      <c r="D18" s="54" t="n">
        <v>0.4</v>
      </c>
      <c r="E18" s="54" t="n">
        <v>0.22</v>
      </c>
      <c r="F18" s="54" t="n">
        <v>0.18</v>
      </c>
      <c r="G18" s="54" t="n">
        <v>0.02</v>
      </c>
      <c r="H18" s="54" t="n">
        <v>0.025</v>
      </c>
      <c r="I18" s="51" t="n">
        <v>15</v>
      </c>
    </row>
    <row r="19">
      <c r="A19" s="33" t="inlineStr">
        <is>
          <t>Construction Supplies</t>
        </is>
      </c>
      <c r="B19" s="33" t="n">
        <v>38</v>
      </c>
      <c r="C19" s="50" t="n">
        <v>1.02</v>
      </c>
      <c r="D19" s="54" t="n">
        <v>0.3</v>
      </c>
      <c r="E19" s="54" t="n">
        <v>0.16</v>
      </c>
      <c r="F19" s="54" t="n">
        <v>0.12</v>
      </c>
      <c r="G19" s="54" t="n">
        <v>0.035</v>
      </c>
      <c r="H19" s="54" t="n">
        <v>0.03</v>
      </c>
      <c r="I19" s="51" t="n">
        <v>9.5</v>
      </c>
    </row>
    <row r="20">
      <c r="A20" s="33" t="inlineStr">
        <is>
          <t>Drugs (Biotechnology)</t>
        </is>
      </c>
      <c r="B20" s="33" t="n">
        <v>532</v>
      </c>
      <c r="C20" s="50" t="n">
        <v>1.18</v>
      </c>
      <c r="D20" s="54" t="n">
        <v>0.6</v>
      </c>
      <c r="E20" s="54" t="n">
        <v>-0.1</v>
      </c>
      <c r="F20" s="54" t="n">
        <v>-0.3</v>
      </c>
      <c r="G20" s="54" t="n">
        <v>0.02</v>
      </c>
      <c r="H20" s="54" t="n">
        <v>0.03</v>
      </c>
      <c r="I20" s="51" t="n">
        <v>12</v>
      </c>
    </row>
    <row r="21">
      <c r="A21" s="33" t="inlineStr">
        <is>
          <t>Drugs (Pharmaceutical)</t>
        </is>
      </c>
      <c r="B21" s="33" t="n">
        <v>155</v>
      </c>
      <c r="C21" s="50" t="n">
        <v>0.95</v>
      </c>
      <c r="D21" s="54" t="n">
        <v>0.65</v>
      </c>
      <c r="E21" s="54" t="n">
        <v>0.3</v>
      </c>
      <c r="F21" s="54" t="n">
        <v>0.22</v>
      </c>
      <c r="G21" s="54" t="n">
        <v>0.03</v>
      </c>
      <c r="H21" s="54" t="n">
        <v>0.04</v>
      </c>
      <c r="I21" s="51" t="n">
        <v>14</v>
      </c>
    </row>
    <row r="22">
      <c r="A22" s="33" t="inlineStr">
        <is>
          <t>Education</t>
        </is>
      </c>
      <c r="B22" s="33" t="n">
        <v>33</v>
      </c>
      <c r="C22" s="50" t="n">
        <v>1.1</v>
      </c>
      <c r="D22" s="54" t="n">
        <v>0.5</v>
      </c>
      <c r="E22" s="54" t="n">
        <v>0.18</v>
      </c>
      <c r="F22" s="54" t="n">
        <v>0.13</v>
      </c>
      <c r="G22" s="54" t="n">
        <v>0.04</v>
      </c>
      <c r="H22" s="54" t="n">
        <v>0.03</v>
      </c>
      <c r="I22" s="51" t="n">
        <v>12</v>
      </c>
    </row>
    <row r="23">
      <c r="A23" s="33" t="inlineStr">
        <is>
          <t>Electrical Equipment</t>
        </is>
      </c>
      <c r="B23" s="33" t="n">
        <v>103</v>
      </c>
      <c r="C23" s="50" t="n">
        <v>1.06</v>
      </c>
      <c r="D23" s="54" t="n">
        <v>0.32</v>
      </c>
      <c r="E23" s="54" t="n">
        <v>0.17</v>
      </c>
      <c r="F23" s="54" t="n">
        <v>0.12</v>
      </c>
      <c r="G23" s="54" t="n">
        <v>0.03</v>
      </c>
      <c r="H23" s="54" t="n">
        <v>0.03</v>
      </c>
      <c r="I23" s="51" t="n">
        <v>12</v>
      </c>
    </row>
    <row r="24">
      <c r="A24" s="33" t="inlineStr">
        <is>
          <t>Engineering/Construction</t>
        </is>
      </c>
      <c r="B24" s="33" t="n">
        <v>48</v>
      </c>
      <c r="C24" s="50" t="n">
        <v>1.1</v>
      </c>
      <c r="D24" s="54" t="n">
        <v>0.18</v>
      </c>
      <c r="E24" s="54" t="n">
        <v>0.1</v>
      </c>
      <c r="F24" s="54" t="n">
        <v>0.07000000000000001</v>
      </c>
      <c r="G24" s="54" t="n">
        <v>0.03</v>
      </c>
      <c r="H24" s="54" t="n">
        <v>0.02</v>
      </c>
      <c r="I24" s="51" t="n">
        <v>9</v>
      </c>
    </row>
    <row r="25">
      <c r="A25" s="33" t="inlineStr">
        <is>
          <t>Entertainment</t>
        </is>
      </c>
      <c r="B25" s="33" t="n">
        <v>73</v>
      </c>
      <c r="C25" s="50" t="n">
        <v>1.1</v>
      </c>
      <c r="D25" s="54" t="n">
        <v>0.4</v>
      </c>
      <c r="E25" s="54" t="n">
        <v>0.16</v>
      </c>
      <c r="F25" s="54" t="n">
        <v>0.1</v>
      </c>
      <c r="G25" s="54" t="n">
        <v>0.04</v>
      </c>
      <c r="H25" s="54" t="n">
        <v>0.06</v>
      </c>
      <c r="I25" s="51" t="n">
        <v>13</v>
      </c>
    </row>
    <row r="26">
      <c r="A26" s="33" t="inlineStr">
        <is>
          <t>Environmental &amp; Waste Services</t>
        </is>
      </c>
      <c r="B26" s="33" t="n">
        <v>87</v>
      </c>
      <c r="C26" s="50" t="n">
        <v>0.86</v>
      </c>
      <c r="D26" s="54" t="n">
        <v>0.35</v>
      </c>
      <c r="E26" s="54" t="n">
        <v>0.24</v>
      </c>
      <c r="F26" s="54" t="n">
        <v>0.15</v>
      </c>
      <c r="G26" s="54" t="n">
        <v>0.08</v>
      </c>
      <c r="H26" s="54" t="n">
        <v>0.09</v>
      </c>
      <c r="I26" s="51" t="n">
        <v>12</v>
      </c>
    </row>
    <row r="27">
      <c r="A27" s="33" t="inlineStr">
        <is>
          <t>Financial Svcs. (Non-bank)</t>
        </is>
      </c>
      <c r="B27" s="33" t="n">
        <v>240</v>
      </c>
      <c r="C27" s="50" t="n">
        <v>1</v>
      </c>
      <c r="D27" s="54" t="n">
        <v>0.45</v>
      </c>
      <c r="E27" s="54" t="n">
        <v>0.3</v>
      </c>
      <c r="F27" s="54" t="n">
        <v>0.22</v>
      </c>
      <c r="G27" s="54" t="n">
        <v>0.01</v>
      </c>
      <c r="H27" s="54" t="n">
        <v>0.02</v>
      </c>
      <c r="I27" s="51" t="n">
        <v>11</v>
      </c>
    </row>
    <row r="28">
      <c r="A28" s="33" t="inlineStr">
        <is>
          <t>Food Processing</t>
        </is>
      </c>
      <c r="B28" s="33" t="n">
        <v>79</v>
      </c>
      <c r="C28" s="50" t="n">
        <v>0.55</v>
      </c>
      <c r="D28" s="54" t="n">
        <v>0.3</v>
      </c>
      <c r="E28" s="54" t="n">
        <v>0.15</v>
      </c>
      <c r="F28" s="54" t="n">
        <v>0.11</v>
      </c>
      <c r="G28" s="54" t="n">
        <v>0.04</v>
      </c>
      <c r="H28" s="54" t="n">
        <v>0.03</v>
      </c>
      <c r="I28" s="51" t="n">
        <v>11.5</v>
      </c>
    </row>
    <row r="29">
      <c r="A29" s="33" t="inlineStr">
        <is>
          <t>Furn/Home Furnishings</t>
        </is>
      </c>
      <c r="B29" s="33" t="n">
        <v>32</v>
      </c>
      <c r="C29" s="50" t="n">
        <v>1.1</v>
      </c>
      <c r="D29" s="54" t="n">
        <v>0.32</v>
      </c>
      <c r="E29" s="54" t="n">
        <v>0.13</v>
      </c>
      <c r="F29" s="54" t="n">
        <v>0.09</v>
      </c>
      <c r="G29" s="54" t="n">
        <v>0.025</v>
      </c>
      <c r="H29" s="54" t="n">
        <v>0.025</v>
      </c>
      <c r="I29" s="51" t="n">
        <v>9</v>
      </c>
    </row>
    <row r="30">
      <c r="A30" s="33" t="inlineStr">
        <is>
          <t>Green &amp; Renewable Energy</t>
        </is>
      </c>
      <c r="B30" s="33" t="n">
        <v>24</v>
      </c>
      <c r="C30" s="50" t="n">
        <v>1.05</v>
      </c>
      <c r="D30" s="54" t="n">
        <v>0.35</v>
      </c>
      <c r="E30" s="54" t="n">
        <v>0.45</v>
      </c>
      <c r="F30" s="54" t="n">
        <v>0.18</v>
      </c>
      <c r="G30" s="54" t="n">
        <v>0.18</v>
      </c>
      <c r="H30" s="54" t="n">
        <v>0.22</v>
      </c>
      <c r="I30" s="51" t="n">
        <v>14</v>
      </c>
    </row>
    <row r="31">
      <c r="A31" s="33" t="inlineStr">
        <is>
          <t>Healthcare Products</t>
        </is>
      </c>
      <c r="B31" s="33" t="n">
        <v>238</v>
      </c>
      <c r="C31" s="50" t="n">
        <v>1.04</v>
      </c>
      <c r="D31" s="54" t="n">
        <v>0.55</v>
      </c>
      <c r="E31" s="54" t="n">
        <v>0.2</v>
      </c>
      <c r="F31" s="54" t="n">
        <v>0.14</v>
      </c>
      <c r="G31" s="54" t="n">
        <v>0.03</v>
      </c>
      <c r="H31" s="54" t="n">
        <v>0.04</v>
      </c>
      <c r="I31" s="51" t="n">
        <v>16</v>
      </c>
    </row>
    <row r="32">
      <c r="A32" s="33" t="inlineStr">
        <is>
          <t>Healthcare Services</t>
        </is>
      </c>
      <c r="B32" s="33" t="n">
        <v>103</v>
      </c>
      <c r="C32" s="50" t="n">
        <v>1.05</v>
      </c>
      <c r="D32" s="54" t="n">
        <v>0.3</v>
      </c>
      <c r="E32" s="54" t="n">
        <v>0.13</v>
      </c>
      <c r="F32" s="54" t="n">
        <v>0.08</v>
      </c>
      <c r="G32" s="54" t="n">
        <v>0.025</v>
      </c>
      <c r="H32" s="54" t="n">
        <v>0.03</v>
      </c>
      <c r="I32" s="51" t="n">
        <v>12</v>
      </c>
    </row>
    <row r="33">
      <c r="A33" s="33" t="inlineStr">
        <is>
          <t>Heavy Construction</t>
        </is>
      </c>
      <c r="B33" s="33" t="n">
        <v>46</v>
      </c>
      <c r="C33" s="50" t="n">
        <v>1.2</v>
      </c>
      <c r="D33" s="54" t="n">
        <v>0.18</v>
      </c>
      <c r="E33" s="54" t="n">
        <v>0.11</v>
      </c>
      <c r="F33" s="54" t="n">
        <v>0.07000000000000001</v>
      </c>
      <c r="G33" s="54" t="n">
        <v>0.04</v>
      </c>
      <c r="H33" s="54" t="n">
        <v>0.03</v>
      </c>
      <c r="I33" s="51" t="n">
        <v>9.5</v>
      </c>
    </row>
    <row r="34">
      <c r="A34" s="33" t="inlineStr">
        <is>
          <t>Homebuilding</t>
        </is>
      </c>
      <c r="B34" s="33" t="n">
        <v>31</v>
      </c>
      <c r="C34" s="50" t="n">
        <v>1.3</v>
      </c>
      <c r="D34" s="54" t="n">
        <v>0.22</v>
      </c>
      <c r="E34" s="54" t="n">
        <v>0.16</v>
      </c>
      <c r="F34" s="54" t="n">
        <v>0.14</v>
      </c>
      <c r="G34" s="54" t="n">
        <v>0.005</v>
      </c>
      <c r="H34" s="54" t="n">
        <v>0.005</v>
      </c>
      <c r="I34" s="51" t="n">
        <v>8.5</v>
      </c>
    </row>
    <row r="35">
      <c r="A35" s="33" t="inlineStr">
        <is>
          <t>Hospitals/Healthcare Facilities</t>
        </is>
      </c>
      <c r="B35" s="33" t="n">
        <v>36</v>
      </c>
      <c r="C35" s="50" t="n">
        <v>0.85</v>
      </c>
      <c r="D35" s="54" t="n">
        <v>0.32</v>
      </c>
      <c r="E35" s="54" t="n">
        <v>0.13</v>
      </c>
      <c r="F35" s="54" t="n">
        <v>0.07000000000000001</v>
      </c>
      <c r="G35" s="54" t="n">
        <v>0.04</v>
      </c>
      <c r="H35" s="54" t="n">
        <v>0.05</v>
      </c>
      <c r="I35" s="51" t="n">
        <v>10.5</v>
      </c>
    </row>
    <row r="36">
      <c r="A36" s="33" t="inlineStr">
        <is>
          <t>Hotel/Gaming</t>
        </is>
      </c>
      <c r="B36" s="33" t="n">
        <v>73</v>
      </c>
      <c r="C36" s="50" t="n">
        <v>1.3</v>
      </c>
      <c r="D36" s="54" t="n">
        <v>0.45</v>
      </c>
      <c r="E36" s="54" t="n">
        <v>0.22</v>
      </c>
      <c r="F36" s="54" t="n">
        <v>0.13</v>
      </c>
      <c r="G36" s="54" t="n">
        <v>0.06</v>
      </c>
      <c r="H36" s="54" t="n">
        <v>0.08</v>
      </c>
      <c r="I36" s="51" t="n">
        <v>11.5</v>
      </c>
    </row>
    <row r="37">
      <c r="A37" s="33" t="inlineStr">
        <is>
          <t>Household Products</t>
        </is>
      </c>
      <c r="B37" s="33" t="n">
        <v>46</v>
      </c>
      <c r="C37" s="50" t="n">
        <v>0.78</v>
      </c>
      <c r="D37" s="54" t="n">
        <v>0.42</v>
      </c>
      <c r="E37" s="54" t="n">
        <v>0.18</v>
      </c>
      <c r="F37" s="54" t="n">
        <v>0.13</v>
      </c>
      <c r="G37" s="54" t="n">
        <v>0.03</v>
      </c>
      <c r="H37" s="54" t="n">
        <v>0.03</v>
      </c>
      <c r="I37" s="51" t="n">
        <v>14.5</v>
      </c>
    </row>
    <row r="38">
      <c r="A38" s="33" t="inlineStr">
        <is>
          <t>Information Services</t>
        </is>
      </c>
      <c r="B38" s="33" t="n">
        <v>74</v>
      </c>
      <c r="C38" s="50" t="n">
        <v>1</v>
      </c>
      <c r="D38" s="54" t="n">
        <v>0.5</v>
      </c>
      <c r="E38" s="54" t="n">
        <v>0.3</v>
      </c>
      <c r="F38" s="54" t="n">
        <v>0.22</v>
      </c>
      <c r="G38" s="54" t="n">
        <v>0.03</v>
      </c>
      <c r="H38" s="54" t="n">
        <v>0.06</v>
      </c>
      <c r="I38" s="51" t="n">
        <v>17</v>
      </c>
    </row>
    <row r="39">
      <c r="A39" s="33" t="inlineStr">
        <is>
          <t>Insurance (General)</t>
        </is>
      </c>
      <c r="B39" s="33" t="n">
        <v>20</v>
      </c>
      <c r="C39" s="50" t="n">
        <v>0.78</v>
      </c>
      <c r="D39" s="54" t="n">
        <v>0.3</v>
      </c>
      <c r="E39" s="54" t="n">
        <v>0.18</v>
      </c>
      <c r="F39" s="54" t="n">
        <v>0.14</v>
      </c>
      <c r="G39" s="54" t="n">
        <v>0.005</v>
      </c>
      <c r="H39" s="54" t="n">
        <v>0.01</v>
      </c>
      <c r="I39" s="51" t="n">
        <v>9.5</v>
      </c>
    </row>
    <row r="40">
      <c r="A40" s="33" t="inlineStr">
        <is>
          <t>Insurance (Life)</t>
        </is>
      </c>
      <c r="B40" s="33" t="n">
        <v>23</v>
      </c>
      <c r="C40" s="50" t="n">
        <v>0.95</v>
      </c>
      <c r="D40" s="54" t="n">
        <v>0.3</v>
      </c>
      <c r="E40" s="54" t="n">
        <v>0.2</v>
      </c>
      <c r="F40" s="54" t="n">
        <v>0.15</v>
      </c>
      <c r="G40" s="54" t="n">
        <v>0.005</v>
      </c>
      <c r="H40" s="54" t="n">
        <v>0.01</v>
      </c>
      <c r="I40" s="51" t="n">
        <v>8</v>
      </c>
    </row>
    <row r="41">
      <c r="A41" s="33" t="inlineStr">
        <is>
          <t>Insurance (Property/Casualty)</t>
        </is>
      </c>
      <c r="B41" s="33" t="n">
        <v>50</v>
      </c>
      <c r="C41" s="50" t="n">
        <v>0.78</v>
      </c>
      <c r="D41" s="54" t="n">
        <v>0.3</v>
      </c>
      <c r="E41" s="54" t="n">
        <v>0.2</v>
      </c>
      <c r="F41" s="54" t="n">
        <v>0.16</v>
      </c>
      <c r="G41" s="54" t="n">
        <v>0.005</v>
      </c>
      <c r="H41" s="54" t="n">
        <v>0.01</v>
      </c>
      <c r="I41" s="51" t="n">
        <v>9.5</v>
      </c>
    </row>
    <row r="42">
      <c r="A42" s="33" t="inlineStr">
        <is>
          <t>Investments &amp; Asset Management</t>
        </is>
      </c>
      <c r="B42" s="33" t="n">
        <v>170</v>
      </c>
      <c r="C42" s="50" t="n">
        <v>1.1</v>
      </c>
      <c r="D42" s="54" t="n">
        <v>0.55</v>
      </c>
      <c r="E42" s="54" t="n">
        <v>0.4</v>
      </c>
      <c r="F42" s="54" t="n">
        <v>0.32</v>
      </c>
      <c r="G42" s="54" t="n">
        <v>0.005</v>
      </c>
      <c r="H42" s="54" t="n">
        <v>0.01</v>
      </c>
      <c r="I42" s="51" t="n">
        <v>12</v>
      </c>
    </row>
    <row r="43">
      <c r="A43" s="33" t="inlineStr">
        <is>
          <t>Machinery</t>
        </is>
      </c>
      <c r="B43" s="33" t="n">
        <v>111</v>
      </c>
      <c r="C43" s="50" t="n">
        <v>1.04</v>
      </c>
      <c r="D43" s="54" t="n">
        <v>0.3</v>
      </c>
      <c r="E43" s="54" t="n">
        <v>0.16</v>
      </c>
      <c r="F43" s="54" t="n">
        <v>0.12</v>
      </c>
      <c r="G43" s="54" t="n">
        <v>0.03</v>
      </c>
      <c r="H43" s="54" t="n">
        <v>0.03</v>
      </c>
      <c r="I43" s="51" t="n">
        <v>12</v>
      </c>
    </row>
    <row r="44">
      <c r="A44" s="33" t="inlineStr">
        <is>
          <t>Metals &amp; Mining</t>
        </is>
      </c>
      <c r="B44" s="33" t="n">
        <v>101</v>
      </c>
      <c r="C44" s="50" t="n">
        <v>1.2</v>
      </c>
      <c r="D44" s="54" t="n">
        <v>0.2</v>
      </c>
      <c r="E44" s="54" t="n">
        <v>0.18</v>
      </c>
      <c r="F44" s="54" t="n">
        <v>0.1</v>
      </c>
      <c r="G44" s="54" t="n">
        <v>0.08</v>
      </c>
      <c r="H44" s="54" t="n">
        <v>0.08</v>
      </c>
      <c r="I44" s="51" t="n">
        <v>7.5</v>
      </c>
    </row>
    <row r="45">
      <c r="A45" s="33" t="inlineStr">
        <is>
          <t>Office Equipment &amp; Services</t>
        </is>
      </c>
      <c r="B45" s="33" t="n">
        <v>17</v>
      </c>
      <c r="C45" s="50" t="n">
        <v>0.92</v>
      </c>
      <c r="D45" s="54" t="n">
        <v>0.35</v>
      </c>
      <c r="E45" s="54" t="n">
        <v>0.16</v>
      </c>
      <c r="F45" s="54" t="n">
        <v>0.1</v>
      </c>
      <c r="G45" s="54" t="n">
        <v>0.03</v>
      </c>
      <c r="H45" s="54" t="n">
        <v>0.04</v>
      </c>
      <c r="I45" s="51" t="n">
        <v>9</v>
      </c>
    </row>
    <row r="46">
      <c r="A46" s="33" t="inlineStr">
        <is>
          <t>Oil/Gas (Integrated)</t>
        </is>
      </c>
      <c r="B46" s="33" t="n">
        <v>4</v>
      </c>
      <c r="C46" s="50" t="n">
        <v>0.92</v>
      </c>
      <c r="D46" s="54" t="n">
        <v>0.3</v>
      </c>
      <c r="E46" s="54" t="n">
        <v>0.18</v>
      </c>
      <c r="F46" s="54" t="n">
        <v>0.13</v>
      </c>
      <c r="G46" s="54" t="n">
        <v>0.08</v>
      </c>
      <c r="H46" s="54" t="n">
        <v>0.08</v>
      </c>
      <c r="I46" s="51" t="n">
        <v>6.5</v>
      </c>
    </row>
    <row r="47">
      <c r="A47" s="33" t="inlineStr">
        <is>
          <t>Oil/Gas (Production/Exploration)</t>
        </is>
      </c>
      <c r="B47" s="33" t="n">
        <v>235</v>
      </c>
      <c r="C47" s="50" t="n">
        <v>1.05</v>
      </c>
      <c r="D47" s="54" t="n">
        <v>0.55</v>
      </c>
      <c r="E47" s="54" t="n">
        <v>0.42</v>
      </c>
      <c r="F47" s="54" t="n">
        <v>0.18</v>
      </c>
      <c r="G47" s="54" t="n">
        <v>0.22</v>
      </c>
      <c r="H47" s="54" t="n">
        <v>0.25</v>
      </c>
      <c r="I47" s="51" t="n">
        <v>5.5</v>
      </c>
    </row>
    <row r="48">
      <c r="A48" s="33" t="inlineStr">
        <is>
          <t>Oilfield Svcs/Equip.</t>
        </is>
      </c>
      <c r="B48" s="33" t="n">
        <v>84</v>
      </c>
      <c r="C48" s="50" t="n">
        <v>1.18</v>
      </c>
      <c r="D48" s="54" t="n">
        <v>0.2</v>
      </c>
      <c r="E48" s="54" t="n">
        <v>0.18</v>
      </c>
      <c r="F48" s="54" t="n">
        <v>0.1</v>
      </c>
      <c r="G48" s="54" t="n">
        <v>0.06</v>
      </c>
      <c r="H48" s="54" t="n">
        <v>0.08</v>
      </c>
      <c r="I48" s="51" t="n">
        <v>8.5</v>
      </c>
    </row>
    <row r="49">
      <c r="A49" s="33" t="inlineStr">
        <is>
          <t>Packaging &amp; Container</t>
        </is>
      </c>
      <c r="B49" s="33" t="n">
        <v>24</v>
      </c>
      <c r="C49" s="50" t="n">
        <v>0.86</v>
      </c>
      <c r="D49" s="54" t="n">
        <v>0.2</v>
      </c>
      <c r="E49" s="54" t="n">
        <v>0.14</v>
      </c>
      <c r="F49" s="54" t="n">
        <v>0.1</v>
      </c>
      <c r="G49" s="54" t="n">
        <v>0.045</v>
      </c>
      <c r="H49" s="54" t="n">
        <v>0.04</v>
      </c>
      <c r="I49" s="51" t="n">
        <v>9.5</v>
      </c>
    </row>
    <row r="50">
      <c r="A50" s="33" t="inlineStr">
        <is>
          <t>Paper/Forest Products</t>
        </is>
      </c>
      <c r="B50" s="33" t="n">
        <v>13</v>
      </c>
      <c r="C50" s="50" t="n">
        <v>0.92</v>
      </c>
      <c r="D50" s="54" t="n">
        <v>0.18</v>
      </c>
      <c r="E50" s="54" t="n">
        <v>0.16</v>
      </c>
      <c r="F50" s="54" t="n">
        <v>0.09</v>
      </c>
      <c r="G50" s="54" t="n">
        <v>0.05</v>
      </c>
      <c r="H50" s="54" t="n">
        <v>0.06</v>
      </c>
      <c r="I50" s="51" t="n">
        <v>8.5</v>
      </c>
    </row>
    <row r="51">
      <c r="A51" s="33" t="inlineStr">
        <is>
          <t>Power</t>
        </is>
      </c>
      <c r="B51" s="33" t="n">
        <v>54</v>
      </c>
      <c r="C51" s="50" t="n">
        <v>0.4</v>
      </c>
      <c r="D51" s="54" t="n">
        <v>0.4</v>
      </c>
      <c r="E51" s="54" t="n">
        <v>0.3</v>
      </c>
      <c r="F51" s="54" t="n">
        <v>0.18</v>
      </c>
      <c r="G51" s="54" t="n">
        <v>0.11</v>
      </c>
      <c r="H51" s="54" t="n">
        <v>0.12</v>
      </c>
      <c r="I51" s="51" t="n">
        <v>12</v>
      </c>
    </row>
    <row r="52">
      <c r="A52" s="33" t="inlineStr">
        <is>
          <t>Precious Metals</t>
        </is>
      </c>
      <c r="B52" s="33" t="n">
        <v>101</v>
      </c>
      <c r="C52" s="50" t="n">
        <v>1.1</v>
      </c>
      <c r="D52" s="54" t="n">
        <v>0.4</v>
      </c>
      <c r="E52" s="54" t="n">
        <v>0.3</v>
      </c>
      <c r="F52" s="54" t="n">
        <v>0.2</v>
      </c>
      <c r="G52" s="54" t="n">
        <v>0.09</v>
      </c>
      <c r="H52" s="54" t="n">
        <v>0.1</v>
      </c>
      <c r="I52" s="51" t="n">
        <v>9</v>
      </c>
    </row>
    <row r="53">
      <c r="A53" s="33" t="inlineStr">
        <is>
          <t>Publishing &amp; Newspapers</t>
        </is>
      </c>
      <c r="B53" s="33" t="n">
        <v>29</v>
      </c>
      <c r="C53" s="50" t="n">
        <v>1</v>
      </c>
      <c r="D53" s="54" t="n">
        <v>0.35</v>
      </c>
      <c r="E53" s="54" t="n">
        <v>0.13</v>
      </c>
      <c r="F53" s="54" t="n">
        <v>0.07000000000000001</v>
      </c>
      <c r="G53" s="54" t="n">
        <v>0.02</v>
      </c>
      <c r="H53" s="54" t="n">
        <v>0.04</v>
      </c>
      <c r="I53" s="51" t="n">
        <v>9.5</v>
      </c>
    </row>
    <row r="54">
      <c r="A54" s="33" t="inlineStr">
        <is>
          <t>R.E.I.T.</t>
        </is>
      </c>
      <c r="B54" s="33" t="n">
        <v>228</v>
      </c>
      <c r="C54" s="50" t="n">
        <v>0.65</v>
      </c>
      <c r="D54" s="54" t="n">
        <v>0.55</v>
      </c>
      <c r="E54" s="54" t="n">
        <v>0.55</v>
      </c>
      <c r="F54" s="54" t="n">
        <v>0.27</v>
      </c>
      <c r="G54" s="54" t="n">
        <v>0.08</v>
      </c>
      <c r="H54" s="54" t="n">
        <v>0.25</v>
      </c>
      <c r="I54" s="51" t="n">
        <v>18</v>
      </c>
    </row>
    <row r="55">
      <c r="A55" s="33" t="inlineStr">
        <is>
          <t>Real Estate (Development)</t>
        </is>
      </c>
      <c r="B55" s="33" t="n">
        <v>22</v>
      </c>
      <c r="C55" s="50" t="n">
        <v>1.05</v>
      </c>
      <c r="D55" s="54" t="n">
        <v>0.3</v>
      </c>
      <c r="E55" s="54" t="n">
        <v>0.2</v>
      </c>
      <c r="F55" s="54" t="n">
        <v>0.15</v>
      </c>
      <c r="G55" s="54" t="n">
        <v>0.005</v>
      </c>
      <c r="H55" s="54" t="n">
        <v>0.01</v>
      </c>
      <c r="I55" s="51" t="n">
        <v>14</v>
      </c>
    </row>
    <row r="56">
      <c r="A56" s="33" t="inlineStr">
        <is>
          <t>Real Estate (Operations &amp; Services)</t>
        </is>
      </c>
      <c r="B56" s="33" t="n">
        <v>58</v>
      </c>
      <c r="C56" s="50" t="n">
        <v>1.05</v>
      </c>
      <c r="D56" s="54" t="n">
        <v>0.4</v>
      </c>
      <c r="E56" s="54" t="n">
        <v>0.22</v>
      </c>
      <c r="F56" s="54" t="n">
        <v>0.13</v>
      </c>
      <c r="G56" s="54" t="n">
        <v>0.02</v>
      </c>
      <c r="H56" s="54" t="n">
        <v>0.04</v>
      </c>
      <c r="I56" s="51" t="n">
        <v>13.5</v>
      </c>
    </row>
    <row r="57">
      <c r="A57" s="33" t="inlineStr">
        <is>
          <t>Recreation</t>
        </is>
      </c>
      <c r="B57" s="33" t="n">
        <v>66</v>
      </c>
      <c r="C57" s="50" t="n">
        <v>1.1</v>
      </c>
      <c r="D57" s="54" t="n">
        <v>0.35</v>
      </c>
      <c r="E57" s="54" t="n">
        <v>0.16</v>
      </c>
      <c r="F57" s="54" t="n">
        <v>0.1</v>
      </c>
      <c r="G57" s="54" t="n">
        <v>0.035</v>
      </c>
      <c r="H57" s="54" t="n">
        <v>0.045</v>
      </c>
      <c r="I57" s="51" t="n">
        <v>11</v>
      </c>
    </row>
    <row r="58">
      <c r="A58" s="33" t="inlineStr">
        <is>
          <t>Reinsurance</t>
        </is>
      </c>
      <c r="B58" s="33" t="n">
        <v>2</v>
      </c>
      <c r="C58" s="50" t="n">
        <v>0.95</v>
      </c>
      <c r="D58" s="54" t="n">
        <v>0.3</v>
      </c>
      <c r="E58" s="54" t="n">
        <v>0.2</v>
      </c>
      <c r="F58" s="54" t="n">
        <v>0.16</v>
      </c>
      <c r="G58" s="54" t="n">
        <v>0.005</v>
      </c>
      <c r="H58" s="54" t="n">
        <v>0.01</v>
      </c>
      <c r="I58" s="51" t="n">
        <v>9</v>
      </c>
    </row>
    <row r="59">
      <c r="A59" s="33" t="inlineStr">
        <is>
          <t>Restaurant/Dining</t>
        </is>
      </c>
      <c r="B59" s="33" t="n">
        <v>82</v>
      </c>
      <c r="C59" s="50" t="n">
        <v>1.04</v>
      </c>
      <c r="D59" s="54" t="n">
        <v>0.32</v>
      </c>
      <c r="E59" s="54" t="n">
        <v>0.16</v>
      </c>
      <c r="F59" s="54" t="n">
        <v>0.1</v>
      </c>
      <c r="G59" s="54" t="n">
        <v>0.045</v>
      </c>
      <c r="H59" s="54" t="n">
        <v>0.045</v>
      </c>
      <c r="I59" s="51" t="n">
        <v>14</v>
      </c>
    </row>
    <row r="60">
      <c r="A60" s="33" t="inlineStr">
        <is>
          <t>Retail (Automotive)</t>
        </is>
      </c>
      <c r="B60" s="33" t="n">
        <v>25</v>
      </c>
      <c r="C60" s="50" t="n">
        <v>1.1</v>
      </c>
      <c r="D60" s="54" t="n">
        <v>0.18</v>
      </c>
      <c r="E60" s="54" t="n">
        <v>0.07000000000000001</v>
      </c>
      <c r="F60" s="54" t="n">
        <v>0.05</v>
      </c>
      <c r="G60" s="54" t="n">
        <v>0.012</v>
      </c>
      <c r="H60" s="54" t="n">
        <v>0.01</v>
      </c>
      <c r="I60" s="51" t="n">
        <v>10</v>
      </c>
    </row>
    <row r="61">
      <c r="A61" s="33" t="inlineStr">
        <is>
          <t>Retail (Building Supply)</t>
        </is>
      </c>
      <c r="B61" s="33" t="n">
        <v>6</v>
      </c>
      <c r="C61" s="50" t="n">
        <v>0.92</v>
      </c>
      <c r="D61" s="54" t="n">
        <v>0.34</v>
      </c>
      <c r="E61" s="54" t="n">
        <v>0.13</v>
      </c>
      <c r="F61" s="54" t="n">
        <v>0.1</v>
      </c>
      <c r="G61" s="54" t="n">
        <v>0.025</v>
      </c>
      <c r="H61" s="54" t="n">
        <v>0.025</v>
      </c>
      <c r="I61" s="51" t="n">
        <v>12</v>
      </c>
    </row>
    <row r="62">
      <c r="A62" s="33" t="inlineStr">
        <is>
          <t>Retail (Distributors)</t>
        </is>
      </c>
      <c r="B62" s="33" t="n">
        <v>77</v>
      </c>
      <c r="C62" s="50" t="n">
        <v>0.9</v>
      </c>
      <c r="D62" s="54" t="n">
        <v>0.2</v>
      </c>
      <c r="E62" s="54" t="n">
        <v>0.1</v>
      </c>
      <c r="F62" s="54" t="n">
        <v>0.07000000000000001</v>
      </c>
      <c r="G62" s="54" t="n">
        <v>0.02</v>
      </c>
      <c r="H62" s="54" t="n">
        <v>0.02</v>
      </c>
      <c r="I62" s="51" t="n">
        <v>10</v>
      </c>
    </row>
    <row r="63">
      <c r="A63" s="33" t="inlineStr">
        <is>
          <t>Retail (General)</t>
        </is>
      </c>
      <c r="B63" s="33" t="n">
        <v>17</v>
      </c>
      <c r="C63" s="50" t="n">
        <v>0.95</v>
      </c>
      <c r="D63" s="54" t="n">
        <v>0.3</v>
      </c>
      <c r="E63" s="54" t="n">
        <v>0.1</v>
      </c>
      <c r="F63" s="54" t="n">
        <v>0.07000000000000001</v>
      </c>
      <c r="G63" s="54" t="n">
        <v>0.02</v>
      </c>
      <c r="H63" s="54" t="n">
        <v>0.02</v>
      </c>
      <c r="I63" s="51" t="n">
        <v>9.5</v>
      </c>
    </row>
    <row r="64">
      <c r="A64" s="33" t="inlineStr">
        <is>
          <t>Retail (Grocery and Food)</t>
        </is>
      </c>
      <c r="B64" s="33" t="n">
        <v>11</v>
      </c>
      <c r="C64" s="50" t="n">
        <v>0.42</v>
      </c>
      <c r="D64" s="54" t="n">
        <v>0.28</v>
      </c>
      <c r="E64" s="54" t="n">
        <v>0.06</v>
      </c>
      <c r="F64" s="54" t="n">
        <v>0.04</v>
      </c>
      <c r="G64" s="54" t="n">
        <v>0.02</v>
      </c>
      <c r="H64" s="54" t="n">
        <v>0.025</v>
      </c>
      <c r="I64" s="51" t="n">
        <v>9</v>
      </c>
    </row>
    <row r="65">
      <c r="A65" s="33" t="inlineStr">
        <is>
          <t>Retail (Online)</t>
        </is>
      </c>
      <c r="B65" s="33" t="n">
        <v>64</v>
      </c>
      <c r="C65" s="50" t="n">
        <v>1.2</v>
      </c>
      <c r="D65" s="54" t="n">
        <v>0.38</v>
      </c>
      <c r="E65" s="54" t="n">
        <v>0.1</v>
      </c>
      <c r="F65" s="54" t="n">
        <v>0.06</v>
      </c>
      <c r="G65" s="54" t="n">
        <v>0.04</v>
      </c>
      <c r="H65" s="54" t="n">
        <v>0.04</v>
      </c>
      <c r="I65" s="51" t="n">
        <v>18.5</v>
      </c>
    </row>
    <row r="66">
      <c r="A66" s="33" t="inlineStr">
        <is>
          <t>Retail (Special Lines)</t>
        </is>
      </c>
      <c r="B66" s="33" t="n">
        <v>92</v>
      </c>
      <c r="C66" s="50" t="n">
        <v>1.04</v>
      </c>
      <c r="D66" s="54" t="n">
        <v>0.32</v>
      </c>
      <c r="E66" s="54" t="n">
        <v>0.1</v>
      </c>
      <c r="F66" s="54" t="n">
        <v>0.07000000000000001</v>
      </c>
      <c r="G66" s="54" t="n">
        <v>0.025</v>
      </c>
      <c r="H66" s="54" t="n">
        <v>0.03</v>
      </c>
      <c r="I66" s="51" t="n">
        <v>10</v>
      </c>
    </row>
    <row r="67">
      <c r="A67" s="33" t="inlineStr">
        <is>
          <t>Rubber &amp; Tires</t>
        </is>
      </c>
      <c r="B67" s="33" t="n">
        <v>4</v>
      </c>
      <c r="C67" s="50" t="n">
        <v>0.92</v>
      </c>
      <c r="D67" s="54" t="n">
        <v>0.2</v>
      </c>
      <c r="E67" s="54" t="n">
        <v>0.13</v>
      </c>
      <c r="F67" s="54" t="n">
        <v>0.07000000000000001</v>
      </c>
      <c r="G67" s="54" t="n">
        <v>0.03</v>
      </c>
      <c r="H67" s="54" t="n">
        <v>0.04</v>
      </c>
      <c r="I67" s="51" t="n">
        <v>8</v>
      </c>
    </row>
    <row r="68">
      <c r="A68" s="33" t="inlineStr">
        <is>
          <t>Semiconductor</t>
        </is>
      </c>
      <c r="B68" s="33" t="n">
        <v>71</v>
      </c>
      <c r="C68" s="50" t="n">
        <v>1.55</v>
      </c>
      <c r="D68" s="54" t="n">
        <v>0.5</v>
      </c>
      <c r="E68" s="54" t="n">
        <v>0.32</v>
      </c>
      <c r="F68" s="54" t="n">
        <v>0.22</v>
      </c>
      <c r="G68" s="54" t="n">
        <v>0.075</v>
      </c>
      <c r="H68" s="54" t="n">
        <v>0.06</v>
      </c>
      <c r="I68" s="51" t="n">
        <v>18</v>
      </c>
    </row>
    <row r="69">
      <c r="A69" s="33" t="inlineStr">
        <is>
          <t>Semiconductor Equip</t>
        </is>
      </c>
      <c r="B69" s="33" t="n">
        <v>37</v>
      </c>
      <c r="C69" s="50" t="n">
        <v>1.45</v>
      </c>
      <c r="D69" s="54" t="n">
        <v>0.45</v>
      </c>
      <c r="E69" s="54" t="n">
        <v>0.3</v>
      </c>
      <c r="F69" s="54" t="n">
        <v>0.22</v>
      </c>
      <c r="G69" s="54" t="n">
        <v>0.04</v>
      </c>
      <c r="H69" s="54" t="n">
        <v>0.04</v>
      </c>
      <c r="I69" s="51" t="n">
        <v>16</v>
      </c>
    </row>
    <row r="70">
      <c r="A70" s="33" t="inlineStr">
        <is>
          <t>Shipbuilding &amp; Marine</t>
        </is>
      </c>
      <c r="B70" s="33" t="n">
        <v>9</v>
      </c>
      <c r="C70" s="50" t="n">
        <v>1.04</v>
      </c>
      <c r="D70" s="54" t="n">
        <v>0.18</v>
      </c>
      <c r="E70" s="54" t="n">
        <v>0.12</v>
      </c>
      <c r="F70" s="54" t="n">
        <v>0.07000000000000001</v>
      </c>
      <c r="G70" s="54" t="n">
        <v>0.04</v>
      </c>
      <c r="H70" s="54" t="n">
        <v>0.04</v>
      </c>
      <c r="I70" s="51" t="n">
        <v>8</v>
      </c>
    </row>
    <row r="71">
      <c r="A71" s="33" t="inlineStr">
        <is>
          <t>Shoe</t>
        </is>
      </c>
      <c r="B71" s="33" t="n">
        <v>11</v>
      </c>
      <c r="C71" s="50" t="n">
        <v>1</v>
      </c>
      <c r="D71" s="54" t="n">
        <v>0.45</v>
      </c>
      <c r="E71" s="54" t="n">
        <v>0.18</v>
      </c>
      <c r="F71" s="54" t="n">
        <v>0.13</v>
      </c>
      <c r="G71" s="54" t="n">
        <v>0.025</v>
      </c>
      <c r="H71" s="54" t="n">
        <v>0.03</v>
      </c>
      <c r="I71" s="51" t="n">
        <v>14</v>
      </c>
    </row>
    <row r="72">
      <c r="A72" s="33" t="inlineStr">
        <is>
          <t>Software (Entertainment)</t>
        </is>
      </c>
      <c r="B72" s="33" t="n">
        <v>75</v>
      </c>
      <c r="C72" s="50" t="n">
        <v>1.3</v>
      </c>
      <c r="D72" s="54" t="n">
        <v>0.65</v>
      </c>
      <c r="E72" s="54" t="n">
        <v>0.25</v>
      </c>
      <c r="F72" s="54" t="n">
        <v>0.18</v>
      </c>
      <c r="G72" s="54" t="n">
        <v>0.03</v>
      </c>
      <c r="H72" s="54" t="n">
        <v>0.06</v>
      </c>
      <c r="I72" s="51" t="n">
        <v>18</v>
      </c>
    </row>
    <row r="73">
      <c r="A73" s="33" t="inlineStr">
        <is>
          <t>Software (Internet)</t>
        </is>
      </c>
      <c r="B73" s="33" t="n">
        <v>245</v>
      </c>
      <c r="C73" s="50" t="n">
        <v>1.3</v>
      </c>
      <c r="D73" s="54" t="n">
        <v>0.7</v>
      </c>
      <c r="E73" s="54" t="n">
        <v>0.16</v>
      </c>
      <c r="F73" s="54" t="n">
        <v>0.07000000000000001</v>
      </c>
      <c r="G73" s="54" t="n">
        <v>0.025</v>
      </c>
      <c r="H73" s="54" t="n">
        <v>0.06</v>
      </c>
      <c r="I73" s="51" t="n">
        <v>22</v>
      </c>
    </row>
    <row r="74">
      <c r="A74" s="33" t="inlineStr">
        <is>
          <t>Software (System &amp; Application)</t>
        </is>
      </c>
      <c r="B74" s="33" t="n">
        <v>367</v>
      </c>
      <c r="C74" s="50" t="n">
        <v>1.2</v>
      </c>
      <c r="D74" s="54" t="n">
        <v>0.72</v>
      </c>
      <c r="E74" s="54" t="n">
        <v>0.3</v>
      </c>
      <c r="F74" s="54" t="n">
        <v>0.22</v>
      </c>
      <c r="G74" s="54" t="n">
        <v>0.02</v>
      </c>
      <c r="H74" s="54" t="n">
        <v>0.06</v>
      </c>
      <c r="I74" s="51" t="n">
        <v>24</v>
      </c>
    </row>
    <row r="75">
      <c r="A75" s="33" t="inlineStr">
        <is>
          <t>Steel</t>
        </is>
      </c>
      <c r="B75" s="33" t="n">
        <v>32</v>
      </c>
      <c r="C75" s="50" t="n">
        <v>1.15</v>
      </c>
      <c r="D75" s="54" t="n">
        <v>0.16</v>
      </c>
      <c r="E75" s="54" t="n">
        <v>0.13</v>
      </c>
      <c r="F75" s="54" t="n">
        <v>0.08</v>
      </c>
      <c r="G75" s="54" t="n">
        <v>0.04</v>
      </c>
      <c r="H75" s="54" t="n">
        <v>0.04</v>
      </c>
      <c r="I75" s="51" t="n">
        <v>7.5</v>
      </c>
    </row>
    <row r="76">
      <c r="A76" s="33" t="inlineStr">
        <is>
          <t>Telecom (Wireless)</t>
        </is>
      </c>
      <c r="B76" s="33" t="n">
        <v>13</v>
      </c>
      <c r="C76" s="50" t="n">
        <v>0.85</v>
      </c>
      <c r="D76" s="54" t="n">
        <v>0.45</v>
      </c>
      <c r="E76" s="54" t="n">
        <v>0.36</v>
      </c>
      <c r="F76" s="54" t="n">
        <v>0.16</v>
      </c>
      <c r="G76" s="54" t="n">
        <v>0.18</v>
      </c>
      <c r="H76" s="54" t="n">
        <v>0.18</v>
      </c>
      <c r="I76" s="51" t="n">
        <v>7.5</v>
      </c>
    </row>
    <row r="77">
      <c r="A77" s="33" t="inlineStr">
        <is>
          <t>Telecom. Equipment</t>
        </is>
      </c>
      <c r="B77" s="33" t="n">
        <v>93</v>
      </c>
      <c r="C77" s="50" t="n">
        <v>1.04</v>
      </c>
      <c r="D77" s="54" t="n">
        <v>0.4</v>
      </c>
      <c r="E77" s="54" t="n">
        <v>0.18</v>
      </c>
      <c r="F77" s="54" t="n">
        <v>0.13</v>
      </c>
      <c r="G77" s="54" t="n">
        <v>0.025</v>
      </c>
      <c r="H77" s="54" t="n">
        <v>0.03</v>
      </c>
      <c r="I77" s="51" t="n">
        <v>11.5</v>
      </c>
    </row>
    <row r="78">
      <c r="A78" s="33" t="inlineStr">
        <is>
          <t>Telecom. Services</t>
        </is>
      </c>
      <c r="B78" s="33" t="n">
        <v>49</v>
      </c>
      <c r="C78" s="50" t="n">
        <v>0.65</v>
      </c>
      <c r="D78" s="54" t="n">
        <v>0.4</v>
      </c>
      <c r="E78" s="54" t="n">
        <v>0.34</v>
      </c>
      <c r="F78" s="54" t="n">
        <v>0.16</v>
      </c>
      <c r="G78" s="54" t="n">
        <v>0.14</v>
      </c>
      <c r="H78" s="54" t="n">
        <v>0.14</v>
      </c>
      <c r="I78" s="51" t="n">
        <v>7.5</v>
      </c>
    </row>
    <row r="79">
      <c r="A79" s="33" t="inlineStr">
        <is>
          <t>Tobacco</t>
        </is>
      </c>
      <c r="B79" s="33" t="n">
        <v>9</v>
      </c>
      <c r="C79" s="50" t="n">
        <v>0.5</v>
      </c>
      <c r="D79" s="54" t="n">
        <v>0.55</v>
      </c>
      <c r="E79" s="54" t="n">
        <v>0.4</v>
      </c>
      <c r="F79" s="54" t="n">
        <v>0.36</v>
      </c>
      <c r="G79" s="54" t="n">
        <v>0.02</v>
      </c>
      <c r="H79" s="54" t="n">
        <v>0.02</v>
      </c>
      <c r="I79" s="51" t="n">
        <v>11</v>
      </c>
    </row>
    <row r="80">
      <c r="A80" s="33" t="inlineStr">
        <is>
          <t>Transportation</t>
        </is>
      </c>
      <c r="B80" s="33" t="n">
        <v>25</v>
      </c>
      <c r="C80" s="50" t="n">
        <v>0.96</v>
      </c>
      <c r="D80" s="54" t="n">
        <v>0.18</v>
      </c>
      <c r="E80" s="54" t="n">
        <v>0.18</v>
      </c>
      <c r="F80" s="54" t="n">
        <v>0.13</v>
      </c>
      <c r="G80" s="54" t="n">
        <v>0.08</v>
      </c>
      <c r="H80" s="54" t="n">
        <v>0.06</v>
      </c>
      <c r="I80" s="51" t="n">
        <v>11</v>
      </c>
    </row>
    <row r="81">
      <c r="A81" s="33" t="inlineStr">
        <is>
          <t>Transportation (Railroads)</t>
        </is>
      </c>
      <c r="B81" s="33" t="n">
        <v>5</v>
      </c>
      <c r="C81" s="50" t="n">
        <v>0.85</v>
      </c>
      <c r="D81" s="54" t="n">
        <v>0.45</v>
      </c>
      <c r="E81" s="54" t="n">
        <v>0.42</v>
      </c>
      <c r="F81" s="54" t="n">
        <v>0.32</v>
      </c>
      <c r="G81" s="54" t="n">
        <v>0.15</v>
      </c>
      <c r="H81" s="54" t="n">
        <v>0.13</v>
      </c>
      <c r="I81" s="51" t="n">
        <v>11.5</v>
      </c>
    </row>
    <row r="82">
      <c r="A82" s="33" t="inlineStr">
        <is>
          <t>Trucking</t>
        </is>
      </c>
      <c r="B82" s="33" t="n">
        <v>36</v>
      </c>
      <c r="C82" s="50" t="n">
        <v>1.05</v>
      </c>
      <c r="D82" s="54" t="n">
        <v>0.13</v>
      </c>
      <c r="E82" s="54" t="n">
        <v>0.18</v>
      </c>
      <c r="F82" s="54" t="n">
        <v>0.1</v>
      </c>
      <c r="G82" s="54" t="n">
        <v>0.05</v>
      </c>
      <c r="H82" s="54" t="n">
        <v>0.06</v>
      </c>
      <c r="I82" s="51" t="n">
        <v>9.5</v>
      </c>
    </row>
    <row r="83">
      <c r="A83" s="33" t="inlineStr">
        <is>
          <t>Utility (General)</t>
        </is>
      </c>
      <c r="B83" s="33" t="n">
        <v>16</v>
      </c>
      <c r="C83" s="50" t="n">
        <v>0.36</v>
      </c>
      <c r="D83" s="54" t="n">
        <v>0.4</v>
      </c>
      <c r="E83" s="54" t="n">
        <v>0.32</v>
      </c>
      <c r="F83" s="54" t="n">
        <v>0.18</v>
      </c>
      <c r="G83" s="54" t="n">
        <v>0.13</v>
      </c>
      <c r="H83" s="54" t="n">
        <v>0.14</v>
      </c>
      <c r="I83" s="51" t="n">
        <v>12</v>
      </c>
    </row>
    <row r="84">
      <c r="A84" s="33" t="inlineStr">
        <is>
          <t>Utility (Water)</t>
        </is>
      </c>
      <c r="B84" s="33" t="n">
        <v>15</v>
      </c>
      <c r="C84" s="50" t="n">
        <v>0.6</v>
      </c>
      <c r="D84" s="54" t="n">
        <v>0.42</v>
      </c>
      <c r="E84" s="54" t="n">
        <v>0.45</v>
      </c>
      <c r="F84" s="54" t="n">
        <v>0.3</v>
      </c>
      <c r="G84" s="54" t="n">
        <v>0.18</v>
      </c>
      <c r="H84" s="54" t="n">
        <v>0.15</v>
      </c>
      <c r="I84" s="51"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4" t="inlineStr">
        <is>
          <t>Equity value (pre-discounts)</t>
        </is>
      </c>
      <c r="C12" s="52">
        <f>C7+C8+C9+C10+C11</f>
        <v/>
      </c>
      <c r="D12" s="52">
        <f>D7+D8+D9+D10+D11</f>
        <v/>
      </c>
    </row>
    <row r="14">
      <c r="A14" s="3" t="inlineStr">
        <is>
          <t>Marketability &amp; control discounts</t>
        </is>
      </c>
    </row>
    <row r="15">
      <c r="A15" s="4" t="inlineStr">
        <is>
          <t>DLOM rate</t>
        </is>
      </c>
      <c r="C15" s="54">
        <f>dlom_pct</f>
        <v/>
      </c>
      <c r="D15" s="54">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4">
        <f>dloc_pct</f>
        <v/>
      </c>
      <c r="D18" s="54">
        <f>dloc_pct</f>
        <v/>
      </c>
    </row>
    <row r="19">
      <c r="A19" s="4" t="inlineStr">
        <is>
          <t>Less: DLOC</t>
        </is>
      </c>
      <c r="C19" s="40">
        <f>-C17*C18</f>
        <v/>
      </c>
      <c r="D19" s="40">
        <f>-D17*D18</f>
        <v/>
      </c>
    </row>
    <row r="20">
      <c r="A20" s="44" t="inlineStr">
        <is>
          <t>Equity value after DLOM and DLOC</t>
        </is>
      </c>
      <c r="C20" s="52">
        <f>C17+C19</f>
        <v/>
      </c>
      <c r="D20" s="52">
        <f>D17+D19</f>
        <v/>
      </c>
    </row>
    <row r="22">
      <c r="A22" s="3" t="inlineStr">
        <is>
          <t>Client's equity interest</t>
        </is>
      </c>
    </row>
    <row r="23">
      <c r="A23" s="4" t="inlineStr">
        <is>
          <t>Equity interest held by client</t>
        </is>
      </c>
      <c r="C23" s="54">
        <f>equity_interest_pct</f>
        <v/>
      </c>
      <c r="D23" s="54">
        <f>equity_interest_pct</f>
        <v/>
      </c>
    </row>
    <row r="24">
      <c r="A24" s="44" t="inlineStr">
        <is>
          <t>Fair value of client's interest</t>
        </is>
      </c>
      <c r="C24" s="52">
        <f>C20*C23</f>
        <v/>
      </c>
      <c r="D24" s="52">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9" t="inlineStr">
        <is>
          <t>WACC ↓ / g →</t>
        </is>
      </c>
      <c r="C6" s="70">
        <f>terminal_growth_rate+(-3)*sens_terminal_g_step</f>
        <v/>
      </c>
      <c r="D6" s="70">
        <f>terminal_growth_rate+(-2)*sens_terminal_g_step</f>
        <v/>
      </c>
      <c r="E6" s="70">
        <f>terminal_growth_rate+(-1)*sens_terminal_g_step</f>
        <v/>
      </c>
      <c r="F6" s="70">
        <f>terminal_growth_rate+(0)*sens_terminal_g_step</f>
        <v/>
      </c>
      <c r="G6" s="70">
        <f>terminal_growth_rate+(1)*sens_terminal_g_step</f>
        <v/>
      </c>
      <c r="H6" s="70">
        <f>terminal_growth_rate+(2)*sens_terminal_g_step</f>
        <v/>
      </c>
      <c r="I6" s="70">
        <f>terminal_growth_rate+(3)*sens_terminal_g_step</f>
        <v/>
      </c>
    </row>
    <row r="7">
      <c r="B7" s="70">
        <f>wacc_per_mgmt+(-3)*sens_wacc_step</f>
        <v/>
      </c>
      <c r="C7" s="40">
        <f>IFERROR(Projections!D40/(1+$B$7)^1+Projections!E40/(1+$B$7)^2+Projections!F40/(1+$B$7)^3+Projections!G40/(1+$B$7)^4+Projections!H40/(1+$B$7)^5+Projections!H40*(1+C$6)/($B$7-C$6)/(1+$B$7)^5,"err")</f>
        <v/>
      </c>
      <c r="D7" s="40">
        <f>IFERROR(Projections!D40/(1+$B$7)^1+Projections!E40/(1+$B$7)^2+Projections!F40/(1+$B$7)^3+Projections!G40/(1+$B$7)^4+Projections!H40/(1+$B$7)^5+Projections!H40*(1+D$6)/($B$7-D$6)/(1+$B$7)^5,"err")</f>
        <v/>
      </c>
      <c r="E7" s="40">
        <f>IFERROR(Projections!D40/(1+$B$7)^1+Projections!E40/(1+$B$7)^2+Projections!F40/(1+$B$7)^3+Projections!G40/(1+$B$7)^4+Projections!H40/(1+$B$7)^5+Projections!H40*(1+E$6)/($B$7-E$6)/(1+$B$7)^5,"err")</f>
        <v/>
      </c>
      <c r="F7" s="40">
        <f>IFERROR(Projections!D40/(1+$B$7)^1+Projections!E40/(1+$B$7)^2+Projections!F40/(1+$B$7)^3+Projections!G40/(1+$B$7)^4+Projections!H40/(1+$B$7)^5+Projections!H40*(1+F$6)/($B$7-F$6)/(1+$B$7)^5,"err")</f>
        <v/>
      </c>
      <c r="G7" s="40">
        <f>IFERROR(Projections!D40/(1+$B$7)^1+Projections!E40/(1+$B$7)^2+Projections!F40/(1+$B$7)^3+Projections!G40/(1+$B$7)^4+Projections!H40/(1+$B$7)^5+Projections!H40*(1+G$6)/($B$7-G$6)/(1+$B$7)^5,"err")</f>
        <v/>
      </c>
      <c r="H7" s="40">
        <f>IFERROR(Projections!D40/(1+$B$7)^1+Projections!E40/(1+$B$7)^2+Projections!F40/(1+$B$7)^3+Projections!G40/(1+$B$7)^4+Projections!H40/(1+$B$7)^5+Projections!H40*(1+H$6)/($B$7-H$6)/(1+$B$7)^5,"err")</f>
        <v/>
      </c>
      <c r="I7" s="40">
        <f>IFERROR(Projections!D40/(1+$B$7)^1+Projections!E40/(1+$B$7)^2+Projections!F40/(1+$B$7)^3+Projections!G40/(1+$B$7)^4+Projections!H40/(1+$B$7)^5+Projections!H40*(1+I$6)/($B$7-I$6)/(1+$B$7)^5,"err")</f>
        <v/>
      </c>
    </row>
    <row r="8">
      <c r="B8" s="70">
        <f>wacc_per_mgmt+(-2)*sens_wacc_step</f>
        <v/>
      </c>
      <c r="C8" s="40">
        <f>IFERROR(Projections!D40/(1+$B$8)^1+Projections!E40/(1+$B$8)^2+Projections!F40/(1+$B$8)^3+Projections!G40/(1+$B$8)^4+Projections!H40/(1+$B$8)^5+Projections!H40*(1+C$6)/($B$8-C$6)/(1+$B$8)^5,"err")</f>
        <v/>
      </c>
      <c r="D8" s="40">
        <f>IFERROR(Projections!D40/(1+$B$8)^1+Projections!E40/(1+$B$8)^2+Projections!F40/(1+$B$8)^3+Projections!G40/(1+$B$8)^4+Projections!H40/(1+$B$8)^5+Projections!H40*(1+D$6)/($B$8-D$6)/(1+$B$8)^5,"err")</f>
        <v/>
      </c>
      <c r="E8" s="40">
        <f>IFERROR(Projections!D40/(1+$B$8)^1+Projections!E40/(1+$B$8)^2+Projections!F40/(1+$B$8)^3+Projections!G40/(1+$B$8)^4+Projections!H40/(1+$B$8)^5+Projections!H40*(1+E$6)/($B$8-E$6)/(1+$B$8)^5,"err")</f>
        <v/>
      </c>
      <c r="F8" s="40">
        <f>IFERROR(Projections!D40/(1+$B$8)^1+Projections!E40/(1+$B$8)^2+Projections!F40/(1+$B$8)^3+Projections!G40/(1+$B$8)^4+Projections!H40/(1+$B$8)^5+Projections!H40*(1+F$6)/($B$8-F$6)/(1+$B$8)^5,"err")</f>
        <v/>
      </c>
      <c r="G8" s="40">
        <f>IFERROR(Projections!D40/(1+$B$8)^1+Projections!E40/(1+$B$8)^2+Projections!F40/(1+$B$8)^3+Projections!G40/(1+$B$8)^4+Projections!H40/(1+$B$8)^5+Projections!H40*(1+G$6)/($B$8-G$6)/(1+$B$8)^5,"err")</f>
        <v/>
      </c>
      <c r="H8" s="40">
        <f>IFERROR(Projections!D40/(1+$B$8)^1+Projections!E40/(1+$B$8)^2+Projections!F40/(1+$B$8)^3+Projections!G40/(1+$B$8)^4+Projections!H40/(1+$B$8)^5+Projections!H40*(1+H$6)/($B$8-H$6)/(1+$B$8)^5,"err")</f>
        <v/>
      </c>
      <c r="I8" s="40">
        <f>IFERROR(Projections!D40/(1+$B$8)^1+Projections!E40/(1+$B$8)^2+Projections!F40/(1+$B$8)^3+Projections!G40/(1+$B$8)^4+Projections!H40/(1+$B$8)^5+Projections!H40*(1+I$6)/($B$8-I$6)/(1+$B$8)^5,"err")</f>
        <v/>
      </c>
    </row>
    <row r="9">
      <c r="B9" s="70">
        <f>wacc_per_mgmt+(-1)*sens_wacc_step</f>
        <v/>
      </c>
      <c r="C9" s="40">
        <f>IFERROR(Projections!D40/(1+$B$9)^1+Projections!E40/(1+$B$9)^2+Projections!F40/(1+$B$9)^3+Projections!G40/(1+$B$9)^4+Projections!H40/(1+$B$9)^5+Projections!H40*(1+C$6)/($B$9-C$6)/(1+$B$9)^5,"err")</f>
        <v/>
      </c>
      <c r="D9" s="40">
        <f>IFERROR(Projections!D40/(1+$B$9)^1+Projections!E40/(1+$B$9)^2+Projections!F40/(1+$B$9)^3+Projections!G40/(1+$B$9)^4+Projections!H40/(1+$B$9)^5+Projections!H40*(1+D$6)/($B$9-D$6)/(1+$B$9)^5,"err")</f>
        <v/>
      </c>
      <c r="E9" s="40">
        <f>IFERROR(Projections!D40/(1+$B$9)^1+Projections!E40/(1+$B$9)^2+Projections!F40/(1+$B$9)^3+Projections!G40/(1+$B$9)^4+Projections!H40/(1+$B$9)^5+Projections!H40*(1+E$6)/($B$9-E$6)/(1+$B$9)^5,"err")</f>
        <v/>
      </c>
      <c r="F9" s="40">
        <f>IFERROR(Projections!D40/(1+$B$9)^1+Projections!E40/(1+$B$9)^2+Projections!F40/(1+$B$9)^3+Projections!G40/(1+$B$9)^4+Projections!H40/(1+$B$9)^5+Projections!H40*(1+F$6)/($B$9-F$6)/(1+$B$9)^5,"err")</f>
        <v/>
      </c>
      <c r="G9" s="40">
        <f>IFERROR(Projections!D40/(1+$B$9)^1+Projections!E40/(1+$B$9)^2+Projections!F40/(1+$B$9)^3+Projections!G40/(1+$B$9)^4+Projections!H40/(1+$B$9)^5+Projections!H40*(1+G$6)/($B$9-G$6)/(1+$B$9)^5,"err")</f>
        <v/>
      </c>
      <c r="H9" s="40">
        <f>IFERROR(Projections!D40/(1+$B$9)^1+Projections!E40/(1+$B$9)^2+Projections!F40/(1+$B$9)^3+Projections!G40/(1+$B$9)^4+Projections!H40/(1+$B$9)^5+Projections!H40*(1+H$6)/($B$9-H$6)/(1+$B$9)^5,"err")</f>
        <v/>
      </c>
      <c r="I9" s="40">
        <f>IFERROR(Projections!D40/(1+$B$9)^1+Projections!E40/(1+$B$9)^2+Projections!F40/(1+$B$9)^3+Projections!G40/(1+$B$9)^4+Projections!H40/(1+$B$9)^5+Projections!H40*(1+I$6)/($B$9-I$6)/(1+$B$9)^5,"err")</f>
        <v/>
      </c>
    </row>
    <row r="10">
      <c r="B10" s="70">
        <f>wacc_per_mgmt+(0)*sens_wacc_step</f>
        <v/>
      </c>
      <c r="C10" s="40">
        <f>IFERROR(Projections!D40/(1+$B$10)^1+Projections!E40/(1+$B$10)^2+Projections!F40/(1+$B$10)^3+Projections!G40/(1+$B$10)^4+Projections!H40/(1+$B$10)^5+Projections!H40*(1+C$6)/($B$10-C$6)/(1+$B$10)^5,"err")</f>
        <v/>
      </c>
      <c r="D10" s="40">
        <f>IFERROR(Projections!D40/(1+$B$10)^1+Projections!E40/(1+$B$10)^2+Projections!F40/(1+$B$10)^3+Projections!G40/(1+$B$10)^4+Projections!H40/(1+$B$10)^5+Projections!H40*(1+D$6)/($B$10-D$6)/(1+$B$10)^5,"err")</f>
        <v/>
      </c>
      <c r="E10" s="40">
        <f>IFERROR(Projections!D40/(1+$B$10)^1+Projections!E40/(1+$B$10)^2+Projections!F40/(1+$B$10)^3+Projections!G40/(1+$B$10)^4+Projections!H40/(1+$B$10)^5+Projections!H40*(1+E$6)/($B$10-E$6)/(1+$B$10)^5,"err")</f>
        <v/>
      </c>
      <c r="F10" s="71">
        <f>IFERROR(Projections!D40/(1+$B$10)^1+Projections!E40/(1+$B$10)^2+Projections!F40/(1+$B$10)^3+Projections!G40/(1+$B$10)^4+Projections!H40/(1+$B$10)^5+Projections!H40*(1+F$6)/($B$10-F$6)/(1+$B$10)^5,"err")</f>
        <v/>
      </c>
      <c r="G10" s="40">
        <f>IFERROR(Projections!D40/(1+$B$10)^1+Projections!E40/(1+$B$10)^2+Projections!F40/(1+$B$10)^3+Projections!G40/(1+$B$10)^4+Projections!H40/(1+$B$10)^5+Projections!H40*(1+G$6)/($B$10-G$6)/(1+$B$10)^5,"err")</f>
        <v/>
      </c>
      <c r="H10" s="40">
        <f>IFERROR(Projections!D40/(1+$B$10)^1+Projections!E40/(1+$B$10)^2+Projections!F40/(1+$B$10)^3+Projections!G40/(1+$B$10)^4+Projections!H40/(1+$B$10)^5+Projections!H40*(1+H$6)/($B$10-H$6)/(1+$B$10)^5,"err")</f>
        <v/>
      </c>
      <c r="I10" s="40">
        <f>IFERROR(Projections!D40/(1+$B$10)^1+Projections!E40/(1+$B$10)^2+Projections!F40/(1+$B$10)^3+Projections!G40/(1+$B$10)^4+Projections!H40/(1+$B$10)^5+Projections!H40*(1+I$6)/($B$10-I$6)/(1+$B$10)^5,"err")</f>
        <v/>
      </c>
    </row>
    <row r="11">
      <c r="B11" s="70">
        <f>wacc_per_mgmt+(1)*sens_wacc_step</f>
        <v/>
      </c>
      <c r="C11" s="40">
        <f>IFERROR(Projections!D40/(1+$B$11)^1+Projections!E40/(1+$B$11)^2+Projections!F40/(1+$B$11)^3+Projections!G40/(1+$B$11)^4+Projections!H40/(1+$B$11)^5+Projections!H40*(1+C$6)/($B$11-C$6)/(1+$B$11)^5,"err")</f>
        <v/>
      </c>
      <c r="D11" s="40">
        <f>IFERROR(Projections!D40/(1+$B$11)^1+Projections!E40/(1+$B$11)^2+Projections!F40/(1+$B$11)^3+Projections!G40/(1+$B$11)^4+Projections!H40/(1+$B$11)^5+Projections!H40*(1+D$6)/($B$11-D$6)/(1+$B$11)^5,"err")</f>
        <v/>
      </c>
      <c r="E11" s="40">
        <f>IFERROR(Projections!D40/(1+$B$11)^1+Projections!E40/(1+$B$11)^2+Projections!F40/(1+$B$11)^3+Projections!G40/(1+$B$11)^4+Projections!H40/(1+$B$11)^5+Projections!H40*(1+E$6)/($B$11-E$6)/(1+$B$11)^5,"err")</f>
        <v/>
      </c>
      <c r="F11" s="40">
        <f>IFERROR(Projections!D40/(1+$B$11)^1+Projections!E40/(1+$B$11)^2+Projections!F40/(1+$B$11)^3+Projections!G40/(1+$B$11)^4+Projections!H40/(1+$B$11)^5+Projections!H40*(1+F$6)/($B$11-F$6)/(1+$B$11)^5,"err")</f>
        <v/>
      </c>
      <c r="G11" s="40">
        <f>IFERROR(Projections!D40/(1+$B$11)^1+Projections!E40/(1+$B$11)^2+Projections!F40/(1+$B$11)^3+Projections!G40/(1+$B$11)^4+Projections!H40/(1+$B$11)^5+Projections!H40*(1+G$6)/($B$11-G$6)/(1+$B$11)^5,"err")</f>
        <v/>
      </c>
      <c r="H11" s="40">
        <f>IFERROR(Projections!D40/(1+$B$11)^1+Projections!E40/(1+$B$11)^2+Projections!F40/(1+$B$11)^3+Projections!G40/(1+$B$11)^4+Projections!H40/(1+$B$11)^5+Projections!H40*(1+H$6)/($B$11-H$6)/(1+$B$11)^5,"err")</f>
        <v/>
      </c>
      <c r="I11" s="40">
        <f>IFERROR(Projections!D40/(1+$B$11)^1+Projections!E40/(1+$B$11)^2+Projections!F40/(1+$B$11)^3+Projections!G40/(1+$B$11)^4+Projections!H40/(1+$B$11)^5+Projections!H40*(1+I$6)/($B$11-I$6)/(1+$B$11)^5,"err")</f>
        <v/>
      </c>
    </row>
    <row r="12">
      <c r="B12" s="70">
        <f>wacc_per_mgmt+(2)*sens_wacc_step</f>
        <v/>
      </c>
      <c r="C12" s="40">
        <f>IFERROR(Projections!D40/(1+$B$12)^1+Projections!E40/(1+$B$12)^2+Projections!F40/(1+$B$12)^3+Projections!G40/(1+$B$12)^4+Projections!H40/(1+$B$12)^5+Projections!H40*(1+C$6)/($B$12-C$6)/(1+$B$12)^5,"err")</f>
        <v/>
      </c>
      <c r="D12" s="40">
        <f>IFERROR(Projections!D40/(1+$B$12)^1+Projections!E40/(1+$B$12)^2+Projections!F40/(1+$B$12)^3+Projections!G40/(1+$B$12)^4+Projections!H40/(1+$B$12)^5+Projections!H40*(1+D$6)/($B$12-D$6)/(1+$B$12)^5,"err")</f>
        <v/>
      </c>
      <c r="E12" s="40">
        <f>IFERROR(Projections!D40/(1+$B$12)^1+Projections!E40/(1+$B$12)^2+Projections!F40/(1+$B$12)^3+Projections!G40/(1+$B$12)^4+Projections!H40/(1+$B$12)^5+Projections!H40*(1+E$6)/($B$12-E$6)/(1+$B$12)^5,"err")</f>
        <v/>
      </c>
      <c r="F12" s="40">
        <f>IFERROR(Projections!D40/(1+$B$12)^1+Projections!E40/(1+$B$12)^2+Projections!F40/(1+$B$12)^3+Projections!G40/(1+$B$12)^4+Projections!H40/(1+$B$12)^5+Projections!H40*(1+F$6)/($B$12-F$6)/(1+$B$12)^5,"err")</f>
        <v/>
      </c>
      <c r="G12" s="40">
        <f>IFERROR(Projections!D40/(1+$B$12)^1+Projections!E40/(1+$B$12)^2+Projections!F40/(1+$B$12)^3+Projections!G40/(1+$B$12)^4+Projections!H40/(1+$B$12)^5+Projections!H40*(1+G$6)/($B$12-G$6)/(1+$B$12)^5,"err")</f>
        <v/>
      </c>
      <c r="H12" s="40">
        <f>IFERROR(Projections!D40/(1+$B$12)^1+Projections!E40/(1+$B$12)^2+Projections!F40/(1+$B$12)^3+Projections!G40/(1+$B$12)^4+Projections!H40/(1+$B$12)^5+Projections!H40*(1+H$6)/($B$12-H$6)/(1+$B$12)^5,"err")</f>
        <v/>
      </c>
      <c r="I12" s="40">
        <f>IFERROR(Projections!D40/(1+$B$12)^1+Projections!E40/(1+$B$12)^2+Projections!F40/(1+$B$12)^3+Projections!G40/(1+$B$12)^4+Projections!H40/(1+$B$12)^5+Projections!H40*(1+I$6)/($B$12-I$6)/(1+$B$12)^5,"err")</f>
        <v/>
      </c>
    </row>
    <row r="13">
      <c r="B13" s="70">
        <f>wacc_per_mgmt+(3)*sens_wacc_step</f>
        <v/>
      </c>
      <c r="C13" s="40">
        <f>IFERROR(Projections!D40/(1+$B$13)^1+Projections!E40/(1+$B$13)^2+Projections!F40/(1+$B$13)^3+Projections!G40/(1+$B$13)^4+Projections!H40/(1+$B$13)^5+Projections!H40*(1+C$6)/($B$13-C$6)/(1+$B$13)^5,"err")</f>
        <v/>
      </c>
      <c r="D13" s="40">
        <f>IFERROR(Projections!D40/(1+$B$13)^1+Projections!E40/(1+$B$13)^2+Projections!F40/(1+$B$13)^3+Projections!G40/(1+$B$13)^4+Projections!H40/(1+$B$13)^5+Projections!H40*(1+D$6)/($B$13-D$6)/(1+$B$13)^5,"err")</f>
        <v/>
      </c>
      <c r="E13" s="40">
        <f>IFERROR(Projections!D40/(1+$B$13)^1+Projections!E40/(1+$B$13)^2+Projections!F40/(1+$B$13)^3+Projections!G40/(1+$B$13)^4+Projections!H40/(1+$B$13)^5+Projections!H40*(1+E$6)/($B$13-E$6)/(1+$B$13)^5,"err")</f>
        <v/>
      </c>
      <c r="F13" s="40">
        <f>IFERROR(Projections!D40/(1+$B$13)^1+Projections!E40/(1+$B$13)^2+Projections!F40/(1+$B$13)^3+Projections!G40/(1+$B$13)^4+Projections!H40/(1+$B$13)^5+Projections!H40*(1+F$6)/($B$13-F$6)/(1+$B$13)^5,"err")</f>
        <v/>
      </c>
      <c r="G13" s="40">
        <f>IFERROR(Projections!D40/(1+$B$13)^1+Projections!E40/(1+$B$13)^2+Projections!F40/(1+$B$13)^3+Projections!G40/(1+$B$13)^4+Projections!H40/(1+$B$13)^5+Projections!H40*(1+G$6)/($B$13-G$6)/(1+$B$13)^5,"err")</f>
        <v/>
      </c>
      <c r="H13" s="40">
        <f>IFERROR(Projections!D40/(1+$B$13)^1+Projections!E40/(1+$B$13)^2+Projections!F40/(1+$B$13)^3+Projections!G40/(1+$B$13)^4+Projections!H40/(1+$B$13)^5+Projections!H40*(1+H$6)/($B$13-H$6)/(1+$B$13)^5,"err")</f>
        <v/>
      </c>
      <c r="I13" s="40">
        <f>IFERROR(Projections!D40/(1+$B$13)^1+Projections!E40/(1+$B$13)^2+Projections!F40/(1+$B$13)^3+Projections!G40/(1+$B$13)^4+Projections!H40/(1+$B$13)^5+Projections!H40*(1+I$6)/($B$13-I$6)/(1+$B$13)^5,"err")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4" t="inlineStr">
        <is>
          <t>Fair value of client's interest</t>
        </is>
      </c>
      <c r="B11" s="2" t="inlineStr">
        <is>
          <t>(currency × unit)</t>
        </is>
      </c>
      <c r="C11" s="52">
        <f>Adjustments!C24</f>
        <v/>
      </c>
      <c r="D11" s="52">
        <f>Adjustments!D24</f>
        <v/>
      </c>
      <c r="E11" s="52">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4" t="inlineStr">
        <is>
          <t>Equity value per share (basic)</t>
        </is>
      </c>
      <c r="B16" s="2" t="inlineStr">
        <is>
          <t>actual currency</t>
        </is>
      </c>
      <c r="C16" s="72">
        <f>IFERROR(Adjustments!C20*C14/C15,0)</f>
        <v/>
      </c>
      <c r="D16" s="72">
        <f>IFERROR(Adjustments!D20*D14/D15,0)</f>
        <v/>
      </c>
      <c r="E16" s="72">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3">
        <f>IFERROR(Adjustments!C20*C14/C17,0)</f>
        <v/>
      </c>
      <c r="D18" s="73">
        <f>IFERROR(Adjustments!D20*D14/D17,0)</f>
        <v/>
      </c>
      <c r="E18" s="73">
        <f>AVERAGE(C18:D18)</f>
        <v/>
      </c>
    </row>
    <row r="20">
      <c r="A20" s="3" t="inlineStr">
        <is>
          <t>Discount rate inputs (reference)</t>
        </is>
      </c>
    </row>
    <row r="21">
      <c r="A21" s="4" t="inlineStr">
        <is>
          <t>WACC</t>
        </is>
      </c>
      <c r="B21" s="2" t="inlineStr">
        <is>
          <t>%</t>
        </is>
      </c>
      <c r="C21" s="56">
        <f>wacc_per_mgmt</f>
        <v/>
      </c>
      <c r="D21" s="56">
        <f>wacc_indep</f>
        <v/>
      </c>
      <c r="E21" s="56" t="n"/>
    </row>
    <row r="22">
      <c r="A22" s="4" t="inlineStr">
        <is>
          <t>Terminal growth rate</t>
        </is>
      </c>
      <c r="B22" s="2" t="inlineStr">
        <is>
          <t>%</t>
        </is>
      </c>
      <c r="C22" s="56">
        <f>terminal_growth_rate</f>
        <v/>
      </c>
      <c r="D22" s="56">
        <f>terminal_growth_rate</f>
        <v/>
      </c>
      <c r="E22" s="56"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4" t="inlineStr">
        <is>
          <t>report_purpose</t>
        </is>
      </c>
      <c r="B1" s="74" t="inlineStr">
        <is>
          <t>accounting_standard</t>
        </is>
      </c>
      <c r="C1" s="74" t="inlineStr">
        <is>
          <t>tax_type</t>
        </is>
      </c>
      <c r="D1" s="74" t="inlineStr">
        <is>
          <t>terminal_method</t>
        </is>
      </c>
      <c r="E1" s="74" t="inlineStr">
        <is>
          <t>currency</t>
        </is>
      </c>
      <c r="F1" s="74" t="inlineStr">
        <is>
          <t>unit</t>
        </is>
      </c>
      <c r="G1" s="74" t="inlineStr">
        <is>
          <t>coco_tier</t>
        </is>
      </c>
      <c r="H1" s="74"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2026-07-23T02:00:32Z</dcterms:created>
  <dcterms:modified xmlns:dcterms="http://purl.org/dc/terms/" xmlns:xsi="http://www.w3.org/2001/XMLSchema-instance" xsi:type="dcterms:W3CDTF">2026-07-23T02:00:32Z</dcterms:modified>
</cp:coreProperties>
</file>