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Inputs" sheetId="3" state="visible" r:id="rId3"/>
    <sheet xmlns:r="http://schemas.openxmlformats.org/officeDocument/2006/relationships" name="Historical FS" sheetId="4" state="visible" r:id="rId4"/>
    <sheet xmlns:r="http://schemas.openxmlformats.org/officeDocument/2006/relationships" name="Projections" sheetId="5" state="visible" r:id="rId5"/>
    <sheet xmlns:r="http://schemas.openxmlformats.org/officeDocument/2006/relationships" name="DCF" sheetId="6" state="visible" r:id="rId6"/>
    <sheet xmlns:r="http://schemas.openxmlformats.org/officeDocument/2006/relationships" name="DCF (Independent)" sheetId="7" state="visible" r:id="rId7"/>
    <sheet xmlns:r="http://schemas.openxmlformats.org/officeDocument/2006/relationships" name="Comps" sheetId="8" state="visible" r:id="rId8"/>
    <sheet xmlns:r="http://schemas.openxmlformats.org/officeDocument/2006/relationships" name="Football Field" sheetId="9" state="visible" r:id="rId9"/>
    <sheet xmlns:r="http://schemas.openxmlformats.org/officeDocument/2006/relationships" name="WACC" sheetId="10" state="visible" r:id="rId10"/>
    <sheet xmlns:r="http://schemas.openxmlformats.org/officeDocument/2006/relationships" name="CoCo Selection" sheetId="11" state="visible" r:id="rId11"/>
    <sheet xmlns:r="http://schemas.openxmlformats.org/officeDocument/2006/relationships" name="CoCo Multiples" sheetId="12" state="visible" r:id="rId12"/>
    <sheet xmlns:r="http://schemas.openxmlformats.org/officeDocument/2006/relationships" name="CoCo Margins" sheetId="13" state="visible" r:id="rId13"/>
    <sheet xmlns:r="http://schemas.openxmlformats.org/officeDocument/2006/relationships" name="CoCo Ratios" sheetId="14" state="visible" r:id="rId14"/>
    <sheet xmlns:r="http://schemas.openxmlformats.org/officeDocument/2006/relationships" name="CIQ Data Timeline" sheetId="15" state="visible" r:id="rId15"/>
    <sheet xmlns:r="http://schemas.openxmlformats.org/officeDocument/2006/relationships" name="Country ERP" sheetId="16" state="visible" r:id="rId16"/>
    <sheet xmlns:r="http://schemas.openxmlformats.org/officeDocument/2006/relationships" name="Industry Averages" sheetId="17" state="visible" r:id="rId17"/>
    <sheet xmlns:r="http://schemas.openxmlformats.org/officeDocument/2006/relationships" name="Adjustments" sheetId="18" state="visible" r:id="rId18"/>
    <sheet xmlns:r="http://schemas.openxmlformats.org/officeDocument/2006/relationships" name="Sensitivity" sheetId="19" state="visible" r:id="rId19"/>
    <sheet xmlns:r="http://schemas.openxmlformats.org/officeDocument/2006/relationships" name="Valuation Summary" sheetId="20" state="visible" r:id="rId20"/>
    <sheet xmlns:r="http://schemas.openxmlformats.org/officeDocument/2006/relationships" name="_dropdowns" sheetId="21" state="hidden" r:id="rId21"/>
  </sheets>
  <definedNames>
    <definedName name="company_name">'Inputs'!$D$7</definedName>
    <definedName name="company_country">'Inputs'!$D$8</definedName>
    <definedName name="company_industry_us">'Inputs'!$D$9</definedName>
    <definedName name="company_industry_global">'Inputs'!$D$10</definedName>
    <definedName name="valuation_date">'Inputs'!$D$11</definedName>
    <definedName name="report_purpose">'Inputs'!$D$12</definedName>
    <definedName name="accounting_standard">'Inputs'!$D$13</definedName>
    <definedName name="engagement_team_partner">'Inputs'!$D$14</definedName>
    <definedName name="engagement_team_manager">'Inputs'!$D$15</definedName>
    <definedName name="engagement_department">'Inputs'!$D$16</definedName>
    <definedName name="client_name">'Inputs'!$D$17</definedName>
    <definedName name="currency">'Inputs'!$D$20</definedName>
    <definedName name="unit">'Inputs'!$D$21</definedName>
    <definedName name="currency_alt">'Inputs'!$D$22</definedName>
    <definedName name="fx_rate_alt">'Inputs'!$D$23</definedName>
    <definedName name="tax_jurisdiction">'Inputs'!$D$26</definedName>
    <definedName name="tax_type">'Inputs'!$D$27</definedName>
    <definedName name="tax_rate_low">'Inputs'!$D$28</definedName>
    <definedName name="tax_rate_high">'Inputs'!$D$29</definedName>
    <definedName name="tax_threshold">'Inputs'!$D$30</definedName>
    <definedName name="tax_effective_rate">'Inputs'!$D$31</definedName>
    <definedName name="projection_years">'Inputs'!$D$34</definedName>
    <definedName name="revenue_growth_method">'Inputs'!$D$35</definedName>
    <definedName name="revenue_y0">'Inputs'!$D$36</definedName>
    <definedName name="nwc_y0">'Inputs'!$D$37</definedName>
    <definedName name="gross_profit_y0">'Inputs'!$D$38</definedName>
    <definedName name="opex_y0">'Inputs'!$D$39</definedName>
    <definedName name="ebitda_y0">'Inputs'!$D$40</definedName>
    <definedName name="ebit_y0">'Inputs'!$D$41</definedName>
    <definedName name="revenue_growth_y1">'Inputs'!$D$42</definedName>
    <definedName name="revenue_growth_y2">'Inputs'!$D$43</definedName>
    <definedName name="revenue_growth_y3">'Inputs'!$D$44</definedName>
    <definedName name="revenue_growth_y4">'Inputs'!$D$45</definedName>
    <definedName name="revenue_growth_y5">'Inputs'!$D$46</definedName>
    <definedName name="gross_margin_y1">'Inputs'!$D$47</definedName>
    <definedName name="gross_margin_y2">'Inputs'!$D$48</definedName>
    <definedName name="gross_margin_y3">'Inputs'!$D$49</definedName>
    <definedName name="gross_margin_y4">'Inputs'!$D$50</definedName>
    <definedName name="gross_margin_y5">'Inputs'!$D$51</definedName>
    <definedName name="opex_pct_revenue_y1">'Inputs'!$D$52</definedName>
    <definedName name="opex_pct_revenue_y2">'Inputs'!$D$53</definedName>
    <definedName name="opex_pct_revenue_y3">'Inputs'!$D$54</definedName>
    <definedName name="opex_pct_revenue_y4">'Inputs'!$D$55</definedName>
    <definedName name="opex_pct_revenue_y5">'Inputs'!$D$56</definedName>
    <definedName name="capex_pct_revenue_y1">'Inputs'!$D$57</definedName>
    <definedName name="capex_pct_revenue_y2">'Inputs'!$D$58</definedName>
    <definedName name="capex_pct_revenue_y3">'Inputs'!$D$59</definedName>
    <definedName name="capex_pct_revenue_y4">'Inputs'!$D$60</definedName>
    <definedName name="capex_pct_revenue_y5">'Inputs'!$D$61</definedName>
    <definedName name="dep_pct_revenue_y1">'Inputs'!$D$62</definedName>
    <definedName name="dep_pct_revenue_y2">'Inputs'!$D$63</definedName>
    <definedName name="dep_pct_revenue_y3">'Inputs'!$D$64</definedName>
    <definedName name="dep_pct_revenue_y4">'Inputs'!$D$65</definedName>
    <definedName name="dep_pct_revenue_y5">'Inputs'!$D$66</definedName>
    <definedName name="nwc_pct_sales_y1">'Inputs'!$D$67</definedName>
    <definedName name="nwc_pct_sales_y2">'Inputs'!$D$68</definedName>
    <definedName name="nwc_pct_sales_y3">'Inputs'!$D$69</definedName>
    <definedName name="nwc_pct_sales_y4">'Inputs'!$D$70</definedName>
    <definedName name="nwc_pct_sales_y5">'Inputs'!$D$71</definedName>
    <definedName name="terminal_method">'Inputs'!$D$74</definedName>
    <definedName name="terminal_growth_rate">'Inputs'!$D$75</definedName>
    <definedName name="terminal_exit_multiple_type">'Inputs'!$D$76</definedName>
    <definedName name="terminal_exit_multiple_value">'Inputs'!$D$77</definedName>
    <definedName name="risk_free_rate">'Inputs'!$D$80</definedName>
    <definedName name="risk_free_rate_source">'Inputs'!$D$81</definedName>
    <definedName name="equity_risk_premium">'Inputs'!$D$82</definedName>
    <definedName name="country_risk_premium">'Inputs'!$D$83</definedName>
    <definedName name="unlevered_beta_per_mgmt">'Inputs'!$D$84</definedName>
    <definedName name="unlevered_beta_indep">'Inputs'!$E$84</definedName>
    <definedName name="target_debt_to_equity_per_mgmt">'Inputs'!$D$85</definedName>
    <definedName name="target_debt_to_equity_indep">'Inputs'!$E$85</definedName>
    <definedName name="levered_beta_per_mgmt">'Inputs'!$D$86</definedName>
    <definedName name="levered_beta_indep">'Inputs'!$E$86</definedName>
    <definedName name="size_premium_per_mgmt">'Inputs'!$D$87</definedName>
    <definedName name="size_premium_indep">'Inputs'!$E$87</definedName>
    <definedName name="specific_risk_premium_per_mgmt">'Inputs'!$D$88</definedName>
    <definedName name="specific_risk_premium_indep">'Inputs'!$E$88</definedName>
    <definedName name="cost_of_equity_per_mgmt">'Inputs'!$D$89</definedName>
    <definedName name="cost_of_equity_indep">'Inputs'!$E$89</definedName>
    <definedName name="pretax_cost_of_debt_per_mgmt">'Inputs'!$D$90</definedName>
    <definedName name="pretax_cost_of_debt_indep">'Inputs'!$E$90</definedName>
    <definedName name="aftertax_cost_of_debt_per_mgmt">'Inputs'!$D$91</definedName>
    <definedName name="aftertax_cost_of_debt_indep">'Inputs'!$E$91</definedName>
    <definedName name="target_debt_weight_per_mgmt">'Inputs'!$D$92</definedName>
    <definedName name="target_debt_weight_indep">'Inputs'!$E$92</definedName>
    <definedName name="target_equity_weight_per_mgmt">'Inputs'!$D$93</definedName>
    <definedName name="target_equity_weight_indep">'Inputs'!$E$93</definedName>
    <definedName name="wacc_per_mgmt">'Inputs'!$D$94</definedName>
    <definedName name="wacc_indep">'Inputs'!$E$94</definedName>
    <definedName name="surplus_assets">'Inputs'!$D$97</definedName>
    <definedName name="net_debt_override">'Inputs'!$D$98</definedName>
    <definedName name="minority_interests">'Inputs'!$D$99</definedName>
    <definedName name="non_operating_assets">'Inputs'!$D$100</definedName>
    <definedName name="dlom_pct">'Inputs'!$D$101</definedName>
    <definedName name="dloc_pct">'Inputs'!$D$102</definedName>
    <definedName name="equity_interest_pct">'Inputs'!$D$103</definedName>
    <definedName name="shares_outstanding">'Inputs'!$D$104</definedName>
    <definedName name="shares_outstanding_diluted">'Inputs'!$D$105</definedName>
    <definedName name="pre_money_pct">'Inputs'!$D$106</definedName>
    <definedName name="capitalize_rd">'Inputs'!$D$109</definedName>
    <definedName name="rd_amortization_years">'Inputs'!$D$110</definedName>
    <definedName name="convert_operating_leases">'Inputs'!$D$111</definedName>
    <definedName name="lease_discount_rate">'Inputs'!$D$112</definedName>
    <definedName name="weight_dcf">'Inputs'!$D$115</definedName>
    <definedName name="weight_comps">'Inputs'!$D$116</definedName>
    <definedName name="weight_precedent">'Inputs'!$D$117</definedName>
    <definedName name="weight_nav">'Inputs'!$D$118</definedName>
    <definedName name="selected_low">'Inputs'!$D$119</definedName>
    <definedName name="selected_mid">'Inputs'!$D$120</definedName>
    <definedName name="selected_high">'Inputs'!$D$121</definedName>
    <definedName name="sens_wacc_step">'Inputs'!$D$124</definedName>
    <definedName name="sens_wacc_count">'Inputs'!$D$125</definedName>
    <definedName name="sens_terminal_g_step">'Inputs'!$D$126</definedName>
    <definedName name="sens_terminal_g_count">'Inputs'!$D$127</definedName>
    <definedName name="sens_revenue_g_step">'Inputs'!$D$128</definedName>
    <definedName name="sens_ebitda_margin_step">'Inputs'!$D$129</definedName>
    <definedName name="cocos_table">'Inputs'!$A$133:$L$162</definedName>
    <definedName name="precedents_table">'Inputs'!$A$166:$I$180</definedName>
    <definedName name="segments_table">'Inputs'!$A$185:$M$189</definedName>
  </definedNames>
  <calcPr calcId="124519" fullCalcOnLoad="1"/>
</workbook>
</file>

<file path=xl/styles.xml><?xml version="1.0" encoding="utf-8"?>
<styleSheet xmlns="http://schemas.openxmlformats.org/spreadsheetml/2006/main">
  <numFmts count="7">
    <numFmt numFmtId="164" formatCode="0.0000"/>
    <numFmt numFmtId="165" formatCode="0.0%"/>
    <numFmt numFmtId="166" formatCode="#,##0.0000"/>
    <numFmt numFmtId="167" formatCode="0.0×;-0.0×;&quot;n/a&quot;"/>
    <numFmt numFmtId="168" formatCode="0.0%;(0.0%);&quot;n/a&quot;"/>
    <numFmt numFmtId="169" formatCode="0.0"/>
    <numFmt numFmtId="170" formatCode="0.000"/>
  </numFmts>
  <fonts count="11">
    <font>
      <name val="Calibri"/>
      <family val="2"/>
      <color theme="1"/>
      <sz val="11"/>
      <scheme val="minor"/>
    </font>
    <font>
      <b val="1"/>
      <color rgb="00FFFFFF"/>
      <sz val="11"/>
    </font>
    <font>
      <i val="1"/>
      <color rgb="00555555"/>
      <sz val="9"/>
    </font>
    <font>
      <b val="1"/>
      <sz val="11"/>
    </font>
    <font>
      <sz val="10"/>
    </font>
    <font>
      <b val="1"/>
      <sz val="10"/>
    </font>
    <font>
      <b val="1"/>
      <i val="1"/>
      <sz val="10"/>
    </font>
    <font>
      <b val="1"/>
      <sz val="14"/>
    </font>
    <font>
      <name val="Menlo"/>
      <color rgb="00333333"/>
      <sz val="9"/>
    </font>
    <font>
      <b val="1"/>
    </font>
    <font/>
  </fonts>
  <fills count="8">
    <fill>
      <patternFill/>
    </fill>
    <fill>
      <patternFill patternType="gray125"/>
    </fill>
    <fill>
      <patternFill patternType="solid">
        <fgColor rgb="001F3864"/>
        <bgColor rgb="001F3864"/>
      </patternFill>
    </fill>
    <fill>
      <patternFill patternType="solid">
        <fgColor rgb="00D9E1F2"/>
        <bgColor rgb="00D9E1F2"/>
      </patternFill>
    </fill>
    <fill>
      <patternFill patternType="solid">
        <fgColor rgb="00FFF2CC"/>
        <bgColor rgb="00FFF2CC"/>
      </patternFill>
    </fill>
    <fill>
      <patternFill patternType="solid">
        <fgColor rgb="00FFFFFF"/>
        <bgColor rgb="00FFFFFF"/>
      </patternFill>
    </fill>
    <fill>
      <patternFill patternType="solid">
        <fgColor rgb="00F2F2F2"/>
        <bgColor rgb="00F2F2F2"/>
      </patternFill>
    </fill>
    <fill>
      <patternFill patternType="solid">
        <fgColor rgb="00FFE699"/>
        <bgColor rgb="00FFE699"/>
      </patternFill>
    </fill>
  </fills>
  <borders count="2">
    <border>
      <left/>
      <right/>
      <top/>
      <bottom/>
      <diagonal/>
    </border>
    <border>
      <left style="thin">
        <color rgb="00888888"/>
      </left>
      <right style="thin">
        <color rgb="00888888"/>
      </right>
      <top style="thin">
        <color rgb="00888888"/>
      </top>
      <bottom style="thin">
        <color rgb="00888888"/>
      </bottom>
    </border>
  </borders>
  <cellStyleXfs count="1">
    <xf numFmtId="0" fontId="0" fillId="0" borderId="0"/>
  </cellStyleXfs>
  <cellXfs count="73">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3" borderId="0" pivotButton="0" quotePrefix="0" xfId="0"/>
    <xf numFmtId="0" fontId="4" fillId="0" borderId="0" pivotButton="0" quotePrefix="0" xfId="0"/>
    <xf numFmtId="0" fontId="5" fillId="0" borderId="0" pivotButton="0" quotePrefix="0" xfId="0"/>
    <xf numFmtId="164" fontId="5" fillId="0" borderId="0" pivotButton="0" quotePrefix="0" xfId="0"/>
    <xf numFmtId="0" fontId="1" fillId="2" borderId="1" applyAlignment="1" pivotButton="0" quotePrefix="0" xfId="0">
      <alignment horizontal="center"/>
    </xf>
    <xf numFmtId="165" fontId="5" fillId="0" borderId="0" applyAlignment="1" pivotButton="0" quotePrefix="0" xfId="0">
      <alignment horizontal="center"/>
    </xf>
    <xf numFmtId="0" fontId="2" fillId="0" borderId="0" applyAlignment="1" pivotButton="0" quotePrefix="0" xfId="0">
      <alignment wrapText="1"/>
    </xf>
    <xf numFmtId="0" fontId="6" fillId="0" borderId="0" pivotButton="0" quotePrefix="0" xfId="0"/>
    <xf numFmtId="165" fontId="5" fillId="0" borderId="0" pivotButton="0" quotePrefix="0" xfId="0"/>
    <xf numFmtId="0" fontId="2" fillId="0" borderId="1" applyAlignment="1" pivotButton="0" quotePrefix="0" xfId="0">
      <alignment vertical="top" wrapText="1"/>
    </xf>
    <xf numFmtId="0" fontId="2" fillId="0" borderId="0" applyAlignment="1" pivotButton="0" quotePrefix="0" xfId="0">
      <alignment vertical="top" wrapText="1"/>
    </xf>
    <xf numFmtId="0" fontId="2" fillId="0" borderId="0" applyAlignment="1" pivotButton="0" quotePrefix="0" xfId="0">
      <alignment horizontal="center"/>
    </xf>
    <xf numFmtId="3" fontId="7" fillId="0" borderId="1" applyAlignment="1" pivotButton="0" quotePrefix="0" xfId="0">
      <alignment horizontal="center"/>
    </xf>
    <xf numFmtId="166" fontId="7" fillId="0" borderId="1" applyAlignment="1" pivotButton="0" quotePrefix="0" xfId="0">
      <alignment horizontal="center"/>
    </xf>
    <xf numFmtId="10" fontId="7" fillId="0" borderId="1" applyAlignment="1" pivotButton="0" quotePrefix="0" xfId="0">
      <alignment horizontal="center"/>
    </xf>
    <xf numFmtId="3" fontId="4" fillId="0" borderId="1" applyAlignment="1" pivotButton="0" quotePrefix="0" xfId="0">
      <alignment horizontal="center"/>
    </xf>
    <xf numFmtId="166" fontId="4" fillId="0" borderId="1" applyAlignment="1" pivotButton="0" quotePrefix="0" xfId="0">
      <alignment horizontal="center"/>
    </xf>
    <xf numFmtId="10" fontId="4" fillId="0" borderId="1" applyAlignment="1" pivotButton="0" quotePrefix="0" xfId="0">
      <alignment horizontal="center"/>
    </xf>
    <xf numFmtId="0" fontId="1" fillId="2" borderId="1" applyAlignment="1" pivotButton="0" quotePrefix="0" xfId="0">
      <alignment horizontal="center" wrapText="1"/>
    </xf>
    <xf numFmtId="0" fontId="4" fillId="0" borderId="1" pivotButton="0" quotePrefix="0" xfId="0"/>
    <xf numFmtId="165" fontId="4" fillId="0" borderId="1" applyAlignment="1" pivotButton="0" quotePrefix="0" xfId="0">
      <alignment horizontal="center"/>
    </xf>
    <xf numFmtId="3" fontId="3" fillId="3" borderId="1" applyAlignment="1" pivotButton="0" quotePrefix="0" xfId="0">
      <alignment horizontal="center"/>
    </xf>
    <xf numFmtId="3" fontId="5" fillId="4" borderId="1" applyAlignment="1" pivotButton="0" quotePrefix="0" xfId="0">
      <alignment horizontal="center"/>
    </xf>
    <xf numFmtId="167" fontId="4" fillId="0" borderId="1" applyAlignment="1" pivotButton="0" quotePrefix="0" xfId="0">
      <alignment horizontal="center"/>
    </xf>
    <xf numFmtId="167" fontId="5" fillId="0" borderId="1" applyAlignment="1" pivotButton="0" quotePrefix="0" xfId="0">
      <alignment horizontal="center"/>
    </xf>
    <xf numFmtId="0" fontId="4" fillId="0" borderId="1" applyAlignment="1" pivotButton="0" quotePrefix="0" xfId="0">
      <alignment horizontal="center"/>
    </xf>
    <xf numFmtId="168" fontId="4" fillId="0" borderId="1" applyAlignment="1" pivotButton="0" quotePrefix="0" xfId="0">
      <alignment horizontal="center"/>
    </xf>
    <xf numFmtId="0" fontId="1" fillId="2" borderId="1" applyAlignment="1" pivotButton="0" quotePrefix="0" xfId="0">
      <alignment horizontal="center" vertical="center"/>
    </xf>
    <xf numFmtId="0" fontId="8" fillId="0" borderId="0" pivotButton="0" quotePrefix="0" xfId="0"/>
    <xf numFmtId="0" fontId="0" fillId="5" borderId="1" pivotButton="0" quotePrefix="0" xfId="0"/>
    <xf numFmtId="0" fontId="0" fillId="0" borderId="1" pivotButton="0" quotePrefix="0" xfId="0"/>
    <xf numFmtId="0" fontId="2" fillId="0" borderId="1" pivotButton="0" quotePrefix="0" xfId="0"/>
    <xf numFmtId="170" fontId="0" fillId="5" borderId="1" pivotButton="0" quotePrefix="0" xfId="0"/>
    <xf numFmtId="10" fontId="0" fillId="5" borderId="1" pivotButton="0" quotePrefix="0" xfId="0"/>
    <xf numFmtId="0" fontId="3" fillId="4" borderId="0" pivotButton="0" quotePrefix="0" xfId="0"/>
    <xf numFmtId="3" fontId="0" fillId="5" borderId="1" pivotButton="0" quotePrefix="0" xfId="0"/>
    <xf numFmtId="3" fontId="9" fillId="5" borderId="1" pivotButton="0" quotePrefix="0" xfId="0"/>
    <xf numFmtId="3" fontId="0" fillId="0" borderId="1" pivotButton="0" quotePrefix="0" xfId="0"/>
    <xf numFmtId="3" fontId="0" fillId="0" borderId="0" pivotButton="0" quotePrefix="0" xfId="0"/>
    <xf numFmtId="165" fontId="0" fillId="0" borderId="0" pivotButton="0" quotePrefix="0" xfId="0"/>
    <xf numFmtId="0" fontId="9" fillId="0" borderId="0" pivotButton="0" quotePrefix="0" xfId="0"/>
    <xf numFmtId="3" fontId="9" fillId="0" borderId="0" pivotButton="0" quotePrefix="0" xfId="0"/>
    <xf numFmtId="0" fontId="0" fillId="2" borderId="1" applyAlignment="1" pivotButton="0" quotePrefix="0" xfId="0">
      <alignment horizontal="center"/>
    </xf>
    <xf numFmtId="10" fontId="0" fillId="0" borderId="0" pivotButton="0" quotePrefix="0" xfId="0"/>
    <xf numFmtId="2" fontId="0" fillId="0" borderId="0" pivotButton="0" quotePrefix="0" xfId="0"/>
    <xf numFmtId="164" fontId="0" fillId="0" borderId="0" pivotButton="0" quotePrefix="0" xfId="0"/>
    <xf numFmtId="2" fontId="0" fillId="0" borderId="1" pivotButton="0" quotePrefix="0" xfId="0"/>
    <xf numFmtId="169" fontId="0" fillId="0" borderId="1" pivotButton="0" quotePrefix="0" xfId="0"/>
    <xf numFmtId="3" fontId="9" fillId="0" borderId="1" pivotButton="0" quotePrefix="0" xfId="0"/>
    <xf numFmtId="0" fontId="9" fillId="0" borderId="1" pivotButton="0" quotePrefix="0" xfId="0"/>
    <xf numFmtId="165" fontId="0" fillId="0" borderId="1" pivotButton="0" quotePrefix="0" xfId="0"/>
    <xf numFmtId="10" fontId="0" fillId="0" borderId="1" pivotButton="0" quotePrefix="0" xfId="0"/>
    <xf numFmtId="170" fontId="0" fillId="0" borderId="1" pivotButton="0" quotePrefix="0" xfId="0"/>
    <xf numFmtId="2" fontId="0" fillId="5" borderId="1" pivotButton="0" quotePrefix="0" xfId="0"/>
    <xf numFmtId="169" fontId="0" fillId="5" borderId="1" pivotButton="0" quotePrefix="0" xfId="0"/>
    <xf numFmtId="2" fontId="10" fillId="0" borderId="0" pivotButton="0" quotePrefix="0" xfId="0"/>
    <xf numFmtId="169" fontId="10" fillId="0" borderId="0" pivotButton="0" quotePrefix="0" xfId="0"/>
    <xf numFmtId="2" fontId="9" fillId="0" borderId="0" pivotButton="0" quotePrefix="0" xfId="0"/>
    <xf numFmtId="169" fontId="9" fillId="0" borderId="0" pivotButton="0" quotePrefix="0" xfId="0"/>
    <xf numFmtId="169" fontId="0" fillId="0" borderId="0" pivotButton="0" quotePrefix="0" xfId="0"/>
    <xf numFmtId="165" fontId="0" fillId="5" borderId="1" pivotButton="0" quotePrefix="0" xfId="0"/>
    <xf numFmtId="165" fontId="10" fillId="0" borderId="0" pivotButton="0" quotePrefix="0" xfId="0"/>
    <xf numFmtId="165" fontId="9" fillId="0" borderId="0" pivotButton="0" quotePrefix="0" xfId="0"/>
    <xf numFmtId="0" fontId="2" fillId="6" borderId="0" pivotButton="0" quotePrefix="0" xfId="0"/>
    <xf numFmtId="0" fontId="1" fillId="0" borderId="0" applyAlignment="1" pivotButton="0" quotePrefix="0" xfId="0">
      <alignment horizontal="center"/>
    </xf>
    <xf numFmtId="10" fontId="1" fillId="2" borderId="1" applyAlignment="1" pivotButton="0" quotePrefix="0" xfId="0">
      <alignment horizontal="center"/>
    </xf>
    <xf numFmtId="3" fontId="9" fillId="7" borderId="1" pivotButton="0" quotePrefix="0" xfId="0"/>
    <xf numFmtId="4" fontId="9" fillId="0" borderId="1" pivotButton="0" quotePrefix="0" xfId="0"/>
    <xf numFmtId="4" fontId="0" fillId="0" borderId="1"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6"/>
  <sheetViews>
    <sheetView workbookViewId="0">
      <selection activeCell="A1" sqref="A1"/>
    </sheetView>
  </sheetViews>
  <sheetFormatPr baseColWidth="8" defaultRowHeight="15"/>
  <cols>
    <col width="4" customWidth="1" min="1" max="1"/>
    <col width="28" customWidth="1" min="2" max="2"/>
    <col width="50" customWidth="1" min="3" max="3"/>
    <col width="16" customWidth="1" min="4" max="4"/>
    <col width="32" customWidth="1" min="5" max="5"/>
    <col width="36" customWidth="1" min="6" max="6"/>
  </cols>
  <sheetData>
    <row r="1" ht="22" customHeight="1">
      <c r="A1" s="1" t="inlineStr">
        <is>
          <t>Valuation Workpaper — Cover &amp; User Guide</t>
        </is>
      </c>
    </row>
    <row r="2">
      <c r="A2" s="2" t="inlineStr">
        <is>
          <t>Auto-generated by the Orionmano valuation pipeline. Read this sheet first. Every figure on every downstream tab is driven by a named range on the Inputs sheet.</t>
        </is>
      </c>
    </row>
    <row r="4">
      <c r="B4" s="3" t="inlineStr">
        <is>
          <t>Engagement metadata</t>
        </is>
      </c>
    </row>
    <row r="5">
      <c r="B5" s="4" t="inlineStr">
        <is>
          <t>Company</t>
        </is>
      </c>
      <c r="C5" s="5">
        <f>company_name</f>
        <v/>
      </c>
    </row>
    <row r="6">
      <c r="B6" s="4" t="inlineStr">
        <is>
          <t>Country of incorporation</t>
        </is>
      </c>
      <c r="C6" s="5">
        <f>company_country</f>
        <v/>
      </c>
    </row>
    <row r="7">
      <c r="B7" s="4" t="inlineStr">
        <is>
          <t>Industry (US)</t>
        </is>
      </c>
      <c r="C7" s="5">
        <f>company_industry_us</f>
        <v/>
      </c>
    </row>
    <row r="8">
      <c r="B8" s="4" t="inlineStr">
        <is>
          <t>Industry (Global)</t>
        </is>
      </c>
      <c r="C8" s="5">
        <f>company_industry_global</f>
        <v/>
      </c>
    </row>
    <row r="9">
      <c r="B9" s="4" t="inlineStr">
        <is>
          <t>Valuation date</t>
        </is>
      </c>
      <c r="C9" s="5">
        <f>valuation_date</f>
        <v/>
      </c>
    </row>
    <row r="10">
      <c r="B10" s="4" t="inlineStr">
        <is>
          <t>Report purpose</t>
        </is>
      </c>
      <c r="C10" s="5">
        <f>report_purpose</f>
        <v/>
      </c>
    </row>
    <row r="11">
      <c r="B11" s="4" t="inlineStr">
        <is>
          <t>Accounting standard</t>
        </is>
      </c>
      <c r="C11" s="5">
        <f>accounting_standard</f>
        <v/>
      </c>
    </row>
    <row r="12">
      <c r="B12" s="4" t="inlineStr">
        <is>
          <t>Client (engaging party)</t>
        </is>
      </c>
      <c r="C12" s="5">
        <f>client_name</f>
        <v/>
      </c>
    </row>
    <row r="13">
      <c r="B13" s="4" t="inlineStr">
        <is>
          <t>Engagement partner</t>
        </is>
      </c>
      <c r="C13" s="5">
        <f>engagement_team_partner</f>
        <v/>
      </c>
    </row>
    <row r="14">
      <c r="B14" s="4" t="inlineStr">
        <is>
          <t>Engagement manager</t>
        </is>
      </c>
      <c r="C14" s="5">
        <f>engagement_team_manager</f>
        <v/>
      </c>
    </row>
    <row r="15">
      <c r="B15" s="4" t="inlineStr">
        <is>
          <t>Department</t>
        </is>
      </c>
      <c r="C15" s="5">
        <f>engagement_department</f>
        <v/>
      </c>
    </row>
    <row r="17">
      <c r="B17" s="3" t="inlineStr">
        <is>
          <t>Currency &amp; units</t>
        </is>
      </c>
    </row>
    <row r="18">
      <c r="B18" s="4" t="inlineStr">
        <is>
          <t>Reporting currency</t>
        </is>
      </c>
      <c r="C18" s="5">
        <f>currency</f>
        <v/>
      </c>
    </row>
    <row r="19">
      <c r="B19" s="4" t="inlineStr">
        <is>
          <t>Unit</t>
        </is>
      </c>
      <c r="C19" s="5">
        <f>unit</f>
        <v/>
      </c>
    </row>
    <row r="20">
      <c r="B20" s="4" t="inlineStr">
        <is>
          <t>Secondary currency</t>
        </is>
      </c>
      <c r="C20" s="5">
        <f>currency_alt</f>
        <v/>
      </c>
    </row>
    <row r="21">
      <c r="B21" s="4" t="inlineStr">
        <is>
          <t>FX rate to alt</t>
        </is>
      </c>
      <c r="C21" s="6">
        <f>fx_rate_alt</f>
        <v/>
      </c>
    </row>
    <row r="22">
      <c r="B22" s="2" t="inlineStr">
        <is>
          <t>Note</t>
        </is>
      </c>
      <c r="C22" s="2" t="inlineStr">
        <is>
          <t>All monetary values throughout this workbook are denominated in [currency] [unit] unless explicitly stated otherwise.</t>
        </is>
      </c>
    </row>
    <row r="24">
      <c r="B24" s="3" t="inlineStr">
        <is>
          <t>Valuation methodologies &amp; weights</t>
        </is>
      </c>
    </row>
    <row r="25">
      <c r="B25" s="7" t="inlineStr">
        <is>
          <t>Methodology</t>
        </is>
      </c>
      <c r="C25" s="7" t="inlineStr">
        <is>
          <t>Weight</t>
        </is>
      </c>
      <c r="D25" s="7" t="inlineStr">
        <is>
          <t>Sheet</t>
        </is>
      </c>
      <c r="E25" s="7" t="inlineStr">
        <is>
          <t>Notes</t>
        </is>
      </c>
    </row>
    <row r="26">
      <c r="B26" s="4" t="inlineStr">
        <is>
          <t>Discounted Cash Flow (DCF)</t>
        </is>
      </c>
      <c r="C26" s="8">
        <f>weight_dcf</f>
        <v/>
      </c>
      <c r="D26" s="4" t="inlineStr">
        <is>
          <t>DCF / DCF (Independent)</t>
        </is>
      </c>
      <c r="E26" s="9" t="inlineStr">
        <is>
          <t>Two-scenario WACC; Gordon-growth or exit-multiple terminal.</t>
        </is>
      </c>
    </row>
    <row r="27">
      <c r="B27" s="4" t="inlineStr">
        <is>
          <t>Comparable Companies (CoCo)</t>
        </is>
      </c>
      <c r="C27" s="8">
        <f>weight_comps</f>
        <v/>
      </c>
      <c r="D27" s="4" t="inlineStr">
        <is>
          <t>Comps / CoCo Multiples</t>
        </is>
      </c>
      <c r="E27" s="9" t="inlineStr">
        <is>
          <t>Q1/Median/Q3 NTM trading multiples × target metrics.</t>
        </is>
      </c>
    </row>
    <row r="28">
      <c r="B28" s="4" t="inlineStr">
        <is>
          <t>Precedent Transactions</t>
        </is>
      </c>
      <c r="C28" s="8">
        <f>weight_precedent</f>
        <v/>
      </c>
      <c r="D28" s="4" t="inlineStr">
        <is>
          <t>Precedent</t>
        </is>
      </c>
      <c r="E28" s="9" t="inlineStr">
        <is>
          <t>Mean EV/EBITDA × Y1 EBITDA from observed M&amp;A deals.</t>
        </is>
      </c>
    </row>
    <row r="29">
      <c r="B29" s="4" t="inlineStr">
        <is>
          <t>Net Asset Value (NAV)</t>
        </is>
      </c>
      <c r="C29" s="8">
        <f>weight_nav</f>
        <v/>
      </c>
      <c r="D29" s="4" t="inlineStr">
        <is>
          <t>—</t>
        </is>
      </c>
      <c r="E29" s="9" t="inlineStr">
        <is>
          <t>Asset-based; typically 0% for going-concern targets.</t>
        </is>
      </c>
    </row>
    <row r="30">
      <c r="B30" s="10" t="inlineStr">
        <is>
          <t>Total weight</t>
        </is>
      </c>
      <c r="C30" s="11">
        <f>weight_dcf+weight_comps+weight_precedent+weight_nav</f>
        <v/>
      </c>
      <c r="D30" s="2" t="inlineStr">
        <is>
          <t>Must equal 100%</t>
        </is>
      </c>
    </row>
    <row r="33">
      <c r="B33" s="3" t="inlineStr">
        <is>
          <t>Sheet index</t>
        </is>
      </c>
    </row>
    <row r="34">
      <c r="B34" s="7" t="inlineStr">
        <is>
          <t>#</t>
        </is>
      </c>
      <c r="C34" s="7" t="inlineStr">
        <is>
          <t>Sheet</t>
        </is>
      </c>
      <c r="D34" s="7" t="inlineStr">
        <is>
          <t>Purpose</t>
        </is>
      </c>
    </row>
    <row r="35">
      <c r="B35" s="4" t="inlineStr">
        <is>
          <t>1</t>
        </is>
      </c>
      <c r="C35" s="5" t="inlineStr">
        <is>
          <t>README</t>
        </is>
      </c>
      <c r="D35" s="9" t="inlineStr">
        <is>
          <t>Instructions, version, manual-input checklist</t>
        </is>
      </c>
    </row>
    <row r="36">
      <c r="B36" s="4" t="inlineStr">
        <is>
          <t>2</t>
        </is>
      </c>
      <c r="C36" s="5" t="inlineStr">
        <is>
          <t>Dashboard</t>
        </is>
      </c>
      <c r="D36" s="9" t="inlineStr">
        <is>
          <t>High-level outputs: EV, Net debt, Surplus, Equity, WACC, terminal g + benchmark charts</t>
        </is>
      </c>
    </row>
    <row r="37">
      <c r="B37" s="4" t="inlineStr">
        <is>
          <t>3</t>
        </is>
      </c>
      <c r="C37" s="5" t="inlineStr">
        <is>
          <t>Inputs</t>
        </is>
      </c>
      <c r="D37" s="9" t="inlineStr">
        <is>
          <t>Single source of truth — all driver parameters</t>
        </is>
      </c>
    </row>
    <row r="38">
      <c r="B38" s="4" t="inlineStr">
        <is>
          <t>4</t>
        </is>
      </c>
      <c r="C38" s="5" t="inlineStr">
        <is>
          <t>Historical FS</t>
        </is>
      </c>
      <c r="D38" s="9" t="inlineStr">
        <is>
          <t>3-5 yr audited income statement + balance sheet (PBC raw)</t>
        </is>
      </c>
    </row>
    <row r="39">
      <c r="B39" s="4" t="inlineStr">
        <is>
          <t>5</t>
        </is>
      </c>
      <c r="C39" s="5" t="inlineStr">
        <is>
          <t>Projections</t>
        </is>
      </c>
      <c r="D39" s="9" t="inlineStr">
        <is>
          <t>Year-by-year forecast lines driven by Inputs</t>
        </is>
      </c>
    </row>
    <row r="40">
      <c r="B40" s="4" t="inlineStr">
        <is>
          <t>6</t>
        </is>
      </c>
      <c r="C40" s="5" t="inlineStr">
        <is>
          <t>DCF</t>
        </is>
      </c>
      <c r="D40" s="9" t="inlineStr">
        <is>
          <t>FCFF schedule, partial-year discount, PV, terminal value</t>
        </is>
      </c>
    </row>
    <row r="41">
      <c r="B41" s="4" t="inlineStr">
        <is>
          <t>7</t>
        </is>
      </c>
      <c r="C41" s="5" t="inlineStr">
        <is>
          <t>DCF (Independent)</t>
        </is>
      </c>
      <c r="D41" s="9" t="inlineStr">
        <is>
          <t>Parallel scenario with independent WACC range</t>
        </is>
      </c>
    </row>
    <row r="42">
      <c r="B42" s="4" t="inlineStr">
        <is>
          <t>8</t>
        </is>
      </c>
      <c r="C42" s="5" t="inlineStr">
        <is>
          <t>Comps</t>
        </is>
      </c>
      <c r="D42" s="9" t="inlineStr">
        <is>
          <t>Apply CoCo multiples to target metrics; implied EV/Sales, EV/EBITDA, P/E</t>
        </is>
      </c>
    </row>
    <row r="43">
      <c r="B43" s="4" t="inlineStr">
        <is>
          <t>9</t>
        </is>
      </c>
      <c r="C43" s="5" t="inlineStr">
        <is>
          <t>Football Field</t>
        </is>
      </c>
      <c r="D43" s="9" t="inlineStr">
        <is>
          <t>Valuation range chart per methodology + weighted selected range</t>
        </is>
      </c>
    </row>
    <row r="44">
      <c r="B44" s="4" t="inlineStr">
        <is>
          <t>10</t>
        </is>
      </c>
      <c r="C44" s="5" t="inlineStr">
        <is>
          <t>WACC</t>
        </is>
      </c>
      <c r="D44" s="9" t="inlineStr">
        <is>
          <t>Full Ke + Kd build with Per-Mgmt and Independent scenarios</t>
        </is>
      </c>
    </row>
    <row r="45">
      <c r="B45" s="4" t="inlineStr">
        <is>
          <t>11</t>
        </is>
      </c>
      <c r="C45" s="5" t="inlineStr">
        <is>
          <t>CoCo Selection</t>
        </is>
      </c>
      <c r="D45" s="9" t="inlineStr">
        <is>
          <t>Comparable company selection with tier flags + market cap</t>
        </is>
      </c>
    </row>
    <row r="46">
      <c r="B46" s="4" t="inlineStr">
        <is>
          <t>12</t>
        </is>
      </c>
      <c r="C46" s="5" t="inlineStr">
        <is>
          <t>CoCo Multiples</t>
        </is>
      </c>
      <c r="D46" s="9" t="inlineStr">
        <is>
          <t>EV/Sales, EV/EBITDA, P/E per comparable</t>
        </is>
      </c>
    </row>
    <row r="47">
      <c r="B47" s="4" t="inlineStr">
        <is>
          <t>13</t>
        </is>
      </c>
      <c r="C47" s="5" t="inlineStr">
        <is>
          <t>CoCo Margins</t>
        </is>
      </c>
      <c r="D47" s="9" t="inlineStr">
        <is>
          <t>Gross / EBIT / net margin per comparable</t>
        </is>
      </c>
    </row>
    <row r="48">
      <c r="B48" s="4" t="inlineStr">
        <is>
          <t>14</t>
        </is>
      </c>
      <c r="C48" s="5" t="inlineStr">
        <is>
          <t>CoCo Ratios</t>
        </is>
      </c>
      <c r="D48" s="9" t="inlineStr">
        <is>
          <t>ROE / ROA / D/E / current ratio per comparable</t>
        </is>
      </c>
    </row>
    <row r="49">
      <c r="B49" s="4" t="inlineStr">
        <is>
          <t>15</t>
        </is>
      </c>
      <c r="C49" s="5" t="inlineStr">
        <is>
          <t>CIQ Data Timeline</t>
        </is>
      </c>
      <c r="D49" s="9" t="inlineStr">
        <is>
          <t>Capital IQ data import audit trail FY-4 to FY-1</t>
        </is>
      </c>
    </row>
    <row r="50">
      <c r="B50" s="4" t="inlineStr">
        <is>
          <t>16</t>
        </is>
      </c>
      <c r="C50" s="5" t="inlineStr">
        <is>
          <t>Country ERP</t>
        </is>
      </c>
      <c r="D50" s="9" t="inlineStr">
        <is>
          <t>Country risk premium reference table (Damodaran)</t>
        </is>
      </c>
    </row>
    <row r="51">
      <c r="B51" s="4" t="inlineStr">
        <is>
          <t>17</t>
        </is>
      </c>
      <c r="C51" s="5" t="inlineStr">
        <is>
          <t>Industry Averages</t>
        </is>
      </c>
      <c r="D51" s="9" t="inlineStr">
        <is>
          <t>Industry-level multiples + margins reference (Damodaran)</t>
        </is>
      </c>
    </row>
    <row r="52">
      <c r="B52" s="4" t="inlineStr">
        <is>
          <t>18</t>
        </is>
      </c>
      <c r="C52" s="5" t="inlineStr">
        <is>
          <t>Adjustments</t>
        </is>
      </c>
      <c r="D52" s="9" t="inlineStr">
        <is>
          <t>EV -&gt; Equity bridge: net debt, surplus, DLOM, DLOC application</t>
        </is>
      </c>
    </row>
    <row r="53">
      <c r="B53" s="4" t="inlineStr">
        <is>
          <t>19</t>
        </is>
      </c>
      <c r="C53" s="5" t="inlineStr">
        <is>
          <t>Sensitivity</t>
        </is>
      </c>
      <c r="D53" s="9" t="inlineStr">
        <is>
          <t>WACC x terminal g; WACC x revenue growth; multiple x metric</t>
        </is>
      </c>
    </row>
    <row r="54">
      <c r="B54" s="4" t="inlineStr">
        <is>
          <t>20</t>
        </is>
      </c>
      <c r="C54" s="5" t="inlineStr">
        <is>
          <t>Valuation Summary</t>
        </is>
      </c>
      <c r="D54" s="9" t="inlineStr">
        <is>
          <t>Final EV -&gt; Equity -&gt; Per share with all weighting and adjustments</t>
        </is>
      </c>
    </row>
    <row r="57">
      <c r="B57" s="3" t="inlineStr">
        <is>
          <t>Items requiring post-export manual input</t>
        </is>
      </c>
    </row>
    <row r="58">
      <c r="B58" s="7" t="inlineStr">
        <is>
          <t>#</t>
        </is>
      </c>
      <c r="C58" s="7" t="inlineStr">
        <is>
          <t>Item</t>
        </is>
      </c>
      <c r="D58" s="7" t="inlineStr">
        <is>
          <t>Sheet</t>
        </is>
      </c>
      <c r="E58" s="7" t="inlineStr">
        <is>
          <t>Cell / range</t>
        </is>
      </c>
      <c r="F58" s="7" t="inlineStr">
        <is>
          <t>Notes</t>
        </is>
      </c>
    </row>
    <row r="59" ht="36" customHeight="1">
      <c r="B59" s="12" t="inlineStr">
        <is>
          <t>1</t>
        </is>
      </c>
      <c r="C59" s="12" t="inlineStr">
        <is>
          <t>Selected football-field band (analyst override)</t>
        </is>
      </c>
      <c r="D59" s="12" t="inlineStr">
        <is>
          <t>Inputs / Football Field</t>
        </is>
      </c>
      <c r="E59" s="12" t="inlineStr">
        <is>
          <t>selected_low / selected_mid / selected_high</t>
        </is>
      </c>
      <c r="F59" s="12" t="inlineStr">
        <is>
          <t>Producer auto-fills initial estimate (±15% around weighted mid). Adjust to your judgment band before finalizing.</t>
        </is>
      </c>
    </row>
    <row r="60" ht="36" customHeight="1">
      <c r="B60" s="12" t="inlineStr">
        <is>
          <t>2</t>
        </is>
      </c>
      <c r="C60" s="12" t="inlineStr">
        <is>
          <t>shares_outstanding_diluted</t>
        </is>
      </c>
      <c r="D60" s="12" t="inlineStr">
        <is>
          <t>Inputs</t>
        </is>
      </c>
      <c r="E60" s="12" t="inlineStr">
        <is>
          <t>shares_outstanding_diluted</t>
        </is>
      </c>
      <c r="F60" s="12" t="inlineStr">
        <is>
          <t>Required for diluted per-share output. Pull from prospectus / cap table if not auto-filled.</t>
        </is>
      </c>
    </row>
    <row r="61" ht="36" customHeight="1">
      <c r="B61" s="12" t="inlineStr">
        <is>
          <t>3</t>
        </is>
      </c>
      <c r="C61" s="12" t="inlineStr">
        <is>
          <t>Coco/Precedent metric values flagged as null</t>
        </is>
      </c>
      <c r="D61" s="12" t="inlineStr">
        <is>
          <t>CoCo Multiples / Margins / Ratios / Precedent</t>
        </is>
      </c>
      <c r="E61" s="12" t="inlineStr">
        <is>
          <t>Cells with INPUT_FILL background</t>
        </is>
      </c>
      <c r="F61" s="12" t="inlineStr">
        <is>
          <t>Producer leaves a metric null when source data is unavailable. Fill from Capital IQ / Bloomberg if you obtain it.</t>
        </is>
      </c>
    </row>
    <row r="62" ht="36" customHeight="1">
      <c r="B62" s="12" t="inlineStr">
        <is>
          <t>4</t>
        </is>
      </c>
      <c r="C62" s="12" t="inlineStr">
        <is>
          <t>Engagement team names</t>
        </is>
      </c>
      <c r="D62" s="12" t="inlineStr">
        <is>
          <t>Inputs</t>
        </is>
      </c>
      <c r="E62" s="12" t="inlineStr">
        <is>
          <t>engagement_team_partner / engagement_team_manager</t>
        </is>
      </c>
      <c r="F62" s="12" t="inlineStr">
        <is>
          <t>Defaults to 'TBD' if engagement letter not provided. Replace with actual partner / manager names.</t>
        </is>
      </c>
    </row>
    <row r="64">
      <c r="B64" s="3" t="inlineStr">
        <is>
          <t>Reference data — refresh schedule</t>
        </is>
      </c>
    </row>
    <row r="65">
      <c r="B65" s="7" t="inlineStr">
        <is>
          <t>Dataset</t>
        </is>
      </c>
      <c r="C65" s="7" t="inlineStr">
        <is>
          <t>Cadence</t>
        </is>
      </c>
      <c r="D65" s="7" t="inlineStr">
        <is>
          <t>Source</t>
        </is>
      </c>
      <c r="E65" s="7" t="inlineStr">
        <is>
          <t>URL / vendor</t>
        </is>
      </c>
    </row>
    <row r="66">
      <c r="B66" s="12" t="inlineStr">
        <is>
          <t>Country ERP</t>
        </is>
      </c>
      <c r="C66" s="12" t="inlineStr">
        <is>
          <t>Annual</t>
        </is>
      </c>
      <c r="D66" s="12" t="inlineStr">
        <is>
          <t>Damodaran NYU Stern country risk premium</t>
        </is>
      </c>
      <c r="E66" s="12" t="inlineStr">
        <is>
          <t>pages.stern.nyu.edu/~adamodar/</t>
        </is>
      </c>
    </row>
    <row r="67">
      <c r="B67" s="12" t="inlineStr">
        <is>
          <t>Industry Averages</t>
        </is>
      </c>
      <c r="C67" s="12" t="inlineStr">
        <is>
          <t>Annual</t>
        </is>
      </c>
      <c r="D67" s="12" t="inlineStr">
        <is>
          <t>Damodaran US industry betas / margins / multiples</t>
        </is>
      </c>
      <c r="E67" s="12" t="inlineStr">
        <is>
          <t>pages.stern.nyu.edu/~adamodar/</t>
        </is>
      </c>
    </row>
    <row r="68">
      <c r="B68" s="12" t="inlineStr">
        <is>
          <t>Risk-free rate</t>
        </is>
      </c>
      <c r="C68" s="12" t="inlineStr">
        <is>
          <t>Per engagement</t>
        </is>
      </c>
      <c r="D68" s="12" t="inlineStr">
        <is>
          <t>10y UST yield as at valuation date</t>
        </is>
      </c>
      <c r="E68" s="12" t="inlineStr">
        <is>
          <t>Bloomberg / Capital IQ</t>
        </is>
      </c>
    </row>
    <row r="69">
      <c r="B69" s="12" t="inlineStr">
        <is>
          <t>ERP</t>
        </is>
      </c>
      <c r="C69" s="12" t="inlineStr">
        <is>
          <t>Per engagement</t>
        </is>
      </c>
      <c r="D69" s="12" t="inlineStr">
        <is>
          <t>Implied / historical ERP for mature markets</t>
        </is>
      </c>
      <c r="E69" s="12" t="inlineStr">
        <is>
          <t>Damodaran implied ERP</t>
        </is>
      </c>
    </row>
    <row r="71">
      <c r="B71" s="3" t="inlineStr">
        <is>
          <t>Disclaimer &amp; use restriction</t>
        </is>
      </c>
    </row>
    <row r="72" ht="18" customHeight="1">
      <c r="B72" s="13" t="inlineStr">
        <is>
          <t>This workpaper has been prepared for the express purpose stated above and for the exclusive use of the engaging party. It must not be reproduced, distributed, or relied upon by any other party without prior written consent. The valuation reflects conditions and information available as at the valuation date; subsequent events are not incorporated. All inputs derive from sources cited in the audit-trail columns of the Inputs sheet — refer to those entries for source documents and assumptions. This is not a fairness opinion, audit, or attestation engagement under PCAOB / AICPA standards unless explicitly designated.</t>
        </is>
      </c>
    </row>
    <row r="73" ht="18" customHeight="1"/>
    <row r="74" ht="18" customHeight="1"/>
    <row r="75" ht="18" customHeight="1"/>
    <row r="76" ht="18" customHeight="1"/>
  </sheetData>
  <mergeCells count="36">
    <mergeCell ref="B4:F4"/>
    <mergeCell ref="D41:F41"/>
    <mergeCell ref="D48:F48"/>
    <mergeCell ref="B71:F71"/>
    <mergeCell ref="B72:F76"/>
    <mergeCell ref="D53:F53"/>
    <mergeCell ref="D47:F47"/>
    <mergeCell ref="D43:F43"/>
    <mergeCell ref="A2:F2"/>
    <mergeCell ref="E29:F29"/>
    <mergeCell ref="D37:F37"/>
    <mergeCell ref="E28:F28"/>
    <mergeCell ref="D30:F30"/>
    <mergeCell ref="D39:F39"/>
    <mergeCell ref="B17:F17"/>
    <mergeCell ref="B57:F57"/>
    <mergeCell ref="D42:F42"/>
    <mergeCell ref="D51:F51"/>
    <mergeCell ref="D38:F38"/>
    <mergeCell ref="D54:F54"/>
    <mergeCell ref="E27:F27"/>
    <mergeCell ref="D35:F35"/>
    <mergeCell ref="D50:F50"/>
    <mergeCell ref="D44:F44"/>
    <mergeCell ref="E26:F26"/>
    <mergeCell ref="C22:F22"/>
    <mergeCell ref="B24:F24"/>
    <mergeCell ref="B64:F64"/>
    <mergeCell ref="B33:F33"/>
    <mergeCell ref="A1:F1"/>
    <mergeCell ref="D46:F46"/>
    <mergeCell ref="D40:F40"/>
    <mergeCell ref="D36:F36"/>
    <mergeCell ref="D45:F45"/>
    <mergeCell ref="D52:F52"/>
    <mergeCell ref="D49:F4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cols>
    <col width="4" customWidth="1" min="1" max="1"/>
    <col width="26" customWidth="1" min="2" max="2"/>
    <col width="16" customWidth="1" min="3" max="3"/>
    <col width="16" customWidth="1" min="4" max="4"/>
    <col width="16" customWidth="1" min="5" max="5"/>
    <col width="16" customWidth="1" min="6" max="6"/>
    <col width="16" customWidth="1" min="7" max="7"/>
    <col width="24" customWidth="1" min="8" max="8"/>
  </cols>
  <sheetData>
    <row r="1" ht="22" customHeight="1">
      <c r="A1" s="1" t="inlineStr">
        <is>
          <t>Valuation Dashboard</t>
        </is>
      </c>
    </row>
    <row r="2">
      <c r="A2" s="2">
        <f>company_name &amp; " — Valuation as at " &amp; TEXT(valuation_date,"yyyy-mm-dd") &amp; " · " &amp; report_purpose</f>
        <v/>
      </c>
    </row>
    <row r="4">
      <c r="B4" s="3" t="inlineStr">
        <is>
          <t>Headline values (Per-Management scenario)</t>
        </is>
      </c>
    </row>
    <row r="5" ht="16" customHeight="1">
      <c r="C5" s="14" t="inlineStr">
        <is>
          <t>Enterprise Value</t>
        </is>
      </c>
      <c r="D5" s="14" t="inlineStr">
        <is>
          <t>Equity (after DLOM/DLOC)</t>
        </is>
      </c>
      <c r="E5" s="14" t="inlineStr">
        <is>
          <t>Per share (basic)</t>
        </is>
      </c>
      <c r="F5" s="14" t="inlineStr">
        <is>
          <t>WACC</t>
        </is>
      </c>
      <c r="G5" s="14" t="inlineStr">
        <is>
          <t>Terminal growth</t>
        </is>
      </c>
    </row>
    <row r="6" ht="26" customHeight="1">
      <c r="C6" s="15">
        <f>'Valuation Summary'!C7</f>
        <v/>
      </c>
      <c r="D6" s="15">
        <f>'Valuation Summary'!C10</f>
        <v/>
      </c>
      <c r="E6" s="16">
        <f>'Valuation Summary'!C16</f>
        <v/>
      </c>
      <c r="F6" s="17">
        <f>wacc_per_mgmt</f>
        <v/>
      </c>
      <c r="G6" s="17">
        <f>terminal_growth_rate</f>
        <v/>
      </c>
    </row>
    <row r="8">
      <c r="B8" s="10" t="inlineStr">
        <is>
          <t>Independent scenario</t>
        </is>
      </c>
      <c r="C8" s="18">
        <f>'Valuation Summary'!D7</f>
        <v/>
      </c>
      <c r="D8" s="18">
        <f>'Valuation Summary'!D10</f>
        <v/>
      </c>
      <c r="E8" s="19">
        <f>'Valuation Summary'!D16</f>
        <v/>
      </c>
      <c r="F8" s="20">
        <f>wacc_indep</f>
        <v/>
      </c>
      <c r="G8" s="20">
        <f>terminal_growth_rate</f>
        <v/>
      </c>
    </row>
    <row r="11">
      <c r="B11" s="3" t="inlineStr">
        <is>
          <t>Methodology range — enterprise value</t>
        </is>
      </c>
    </row>
    <row r="12">
      <c r="B12" s="21" t="inlineStr">
        <is>
          <t>Methodology</t>
        </is>
      </c>
      <c r="C12" s="21" t="inlineStr">
        <is>
          <t>Low</t>
        </is>
      </c>
      <c r="D12" s="21" t="inlineStr">
        <is>
          <t>Mid</t>
        </is>
      </c>
      <c r="E12" s="21" t="inlineStr">
        <is>
          <t>High</t>
        </is>
      </c>
      <c r="F12" s="21" t="inlineStr">
        <is>
          <t>Weight</t>
        </is>
      </c>
      <c r="G12" s="21" t="inlineStr">
        <is>
          <t>Weighted mid</t>
        </is>
      </c>
      <c r="H12" s="21" t="inlineStr">
        <is>
          <t>Notes</t>
        </is>
      </c>
    </row>
    <row r="13">
      <c r="B13" s="22" t="inlineStr">
        <is>
          <t>DCF (across scenarios)</t>
        </is>
      </c>
      <c r="C13" s="18">
        <f>'Football Field'!C7</f>
        <v/>
      </c>
      <c r="D13" s="18">
        <f>'Football Field'!D7</f>
        <v/>
      </c>
      <c r="E13" s="18">
        <f>'Football Field'!E7</f>
        <v/>
      </c>
      <c r="F13" s="23">
        <f>weight_dcf</f>
        <v/>
      </c>
      <c r="G13" s="18">
        <f>'Football Field'!F7</f>
        <v/>
      </c>
      <c r="H13" s="22" t="inlineStr">
        <is>
          <t>Per-Mgmt vs Independent WACC.</t>
        </is>
      </c>
    </row>
    <row r="14">
      <c r="B14" s="22" t="inlineStr">
        <is>
          <t>Comparable Companies</t>
        </is>
      </c>
      <c r="C14" s="18">
        <f>'Football Field'!C11</f>
        <v/>
      </c>
      <c r="D14" s="18">
        <f>'Football Field'!D11</f>
        <v/>
      </c>
      <c r="E14" s="18">
        <f>'Football Field'!E11</f>
        <v/>
      </c>
      <c r="F14" s="23">
        <f>weight_comps</f>
        <v/>
      </c>
      <c r="G14" s="18">
        <f>'Football Field'!F11</f>
        <v/>
      </c>
      <c r="H14" s="22" t="inlineStr">
        <is>
          <t>NTM medians × target metrics.</t>
        </is>
      </c>
    </row>
    <row r="15">
      <c r="B15" s="22" t="inlineStr">
        <is>
          <t>Precedent Transactions</t>
        </is>
      </c>
      <c r="C15" s="18">
        <f>'Football Field'!C12</f>
        <v/>
      </c>
      <c r="D15" s="18">
        <f>'Football Field'!D12</f>
        <v/>
      </c>
      <c r="E15" s="18">
        <f>'Football Field'!E12</f>
        <v/>
      </c>
      <c r="F15" s="23">
        <f>weight_precedent</f>
        <v/>
      </c>
      <c r="G15" s="18">
        <f>'Football Field'!F12</f>
        <v/>
      </c>
      <c r="H15" s="22" t="inlineStr">
        <is>
          <t>Mean EV/EBITDA × Y1 EBITDA.</t>
        </is>
      </c>
    </row>
    <row r="17">
      <c r="B17" s="5" t="inlineStr">
        <is>
          <t>Weighted-average EV</t>
        </is>
      </c>
      <c r="G17" s="24">
        <f>'Football Field'!F16</f>
        <v/>
      </c>
    </row>
    <row r="18">
      <c r="B18" s="10" t="inlineStr">
        <is>
          <t>Selected band (low / mid / high)</t>
        </is>
      </c>
      <c r="C18" s="25">
        <f>selected_low</f>
        <v/>
      </c>
      <c r="D18" s="25">
        <f>selected_mid</f>
        <v/>
      </c>
      <c r="E18" s="25">
        <f>selected_high</f>
        <v/>
      </c>
    </row>
    <row r="20">
      <c r="B20" s="3" t="inlineStr">
        <is>
          <t>CoCo trading multiples — benchmark stats</t>
        </is>
      </c>
    </row>
    <row r="21">
      <c r="B21" s="7" t="inlineStr">
        <is>
          <t>Multiple</t>
        </is>
      </c>
      <c r="C21" s="7" t="inlineStr">
        <is>
          <t>Min</t>
        </is>
      </c>
      <c r="D21" s="7" t="inlineStr">
        <is>
          <t>Q1</t>
        </is>
      </c>
      <c r="E21" s="7" t="inlineStr">
        <is>
          <t>Median</t>
        </is>
      </c>
      <c r="F21" s="7" t="inlineStr">
        <is>
          <t>Q3</t>
        </is>
      </c>
      <c r="G21" s="7" t="inlineStr">
        <is>
          <t>Max</t>
        </is>
      </c>
      <c r="H21" s="7" t="inlineStr">
        <is>
          <t>Mean</t>
        </is>
      </c>
    </row>
    <row r="22">
      <c r="B22" s="4" t="inlineStr">
        <is>
          <t>EV / Sales NTM</t>
        </is>
      </c>
      <c r="C22" s="26">
        <f>'CoCo Multiples'!F42</f>
        <v/>
      </c>
      <c r="D22" s="26">
        <f>'CoCo Multiples'!F41</f>
        <v/>
      </c>
      <c r="E22" s="27">
        <f>'CoCo Multiples'!F39</f>
        <v/>
      </c>
      <c r="F22" s="26">
        <f>'CoCo Multiples'!F38</f>
        <v/>
      </c>
      <c r="G22" s="26">
        <f>'CoCo Multiples'!F37</f>
        <v/>
      </c>
      <c r="H22" s="26">
        <f>'CoCo Multiples'!F40</f>
        <v/>
      </c>
    </row>
    <row r="23">
      <c r="B23" s="4" t="inlineStr">
        <is>
          <t>EV / EBITDA NTM</t>
        </is>
      </c>
      <c r="C23" s="26">
        <f>'CoCo Multiples'!H42</f>
        <v/>
      </c>
      <c r="D23" s="26">
        <f>'CoCo Multiples'!H41</f>
        <v/>
      </c>
      <c r="E23" s="27">
        <f>'CoCo Multiples'!H39</f>
        <v/>
      </c>
      <c r="F23" s="26">
        <f>'CoCo Multiples'!H38</f>
        <v/>
      </c>
      <c r="G23" s="26">
        <f>'CoCo Multiples'!H37</f>
        <v/>
      </c>
      <c r="H23" s="26">
        <f>'CoCo Multiples'!H40</f>
        <v/>
      </c>
    </row>
    <row r="24">
      <c r="B24" s="4" t="inlineStr">
        <is>
          <t>P / E NTM</t>
        </is>
      </c>
      <c r="C24" s="26">
        <f>'CoCo Multiples'!J42</f>
        <v/>
      </c>
      <c r="D24" s="26">
        <f>'CoCo Multiples'!J41</f>
        <v/>
      </c>
      <c r="E24" s="27">
        <f>'CoCo Multiples'!J39</f>
        <v/>
      </c>
      <c r="F24" s="26">
        <f>'CoCo Multiples'!J38</f>
        <v/>
      </c>
      <c r="G24" s="26">
        <f>'CoCo Multiples'!J37</f>
        <v/>
      </c>
      <c r="H24" s="26">
        <f>'CoCo Multiples'!J40</f>
        <v/>
      </c>
    </row>
    <row r="25">
      <c r="B25" s="4" t="inlineStr">
        <is>
          <t>EV / Sales LTM</t>
        </is>
      </c>
      <c r="C25" s="26">
        <f>'CoCo Multiples'!E42</f>
        <v/>
      </c>
      <c r="D25" s="26">
        <f>'CoCo Multiples'!E41</f>
        <v/>
      </c>
      <c r="E25" s="27">
        <f>'CoCo Multiples'!E39</f>
        <v/>
      </c>
      <c r="F25" s="26">
        <f>'CoCo Multiples'!E38</f>
        <v/>
      </c>
      <c r="G25" s="26">
        <f>'CoCo Multiples'!E37</f>
        <v/>
      </c>
      <c r="H25" s="26">
        <f>'CoCo Multiples'!E40</f>
        <v/>
      </c>
    </row>
    <row r="26">
      <c r="B26" s="4" t="inlineStr">
        <is>
          <t>EV / EBITDA LTM</t>
        </is>
      </c>
      <c r="C26" s="26">
        <f>'CoCo Multiples'!G42</f>
        <v/>
      </c>
      <c r="D26" s="26">
        <f>'CoCo Multiples'!G41</f>
        <v/>
      </c>
      <c r="E26" s="27">
        <f>'CoCo Multiples'!G39</f>
        <v/>
      </c>
      <c r="F26" s="26">
        <f>'CoCo Multiples'!G38</f>
        <v/>
      </c>
      <c r="G26" s="26">
        <f>'CoCo Multiples'!G37</f>
        <v/>
      </c>
      <c r="H26" s="26">
        <f>'CoCo Multiples'!G40</f>
        <v/>
      </c>
    </row>
    <row r="27">
      <c r="B27" s="4" t="inlineStr">
        <is>
          <t>P / E LTM</t>
        </is>
      </c>
      <c r="C27" s="26">
        <f>'CoCo Multiples'!I42</f>
        <v/>
      </c>
      <c r="D27" s="26">
        <f>'CoCo Multiples'!I41</f>
        <v/>
      </c>
      <c r="E27" s="27">
        <f>'CoCo Multiples'!I39</f>
        <v/>
      </c>
      <c r="F27" s="26">
        <f>'CoCo Multiples'!I38</f>
        <v/>
      </c>
      <c r="G27" s="26">
        <f>'CoCo Multiples'!I37</f>
        <v/>
      </c>
      <c r="H27" s="26">
        <f>'CoCo Multiples'!I40</f>
        <v/>
      </c>
    </row>
    <row r="30">
      <c r="B30" s="3" t="inlineStr">
        <is>
          <t>Sensitivity — EV (WACC × terminal growth, Per-Mgmt)</t>
        </is>
      </c>
    </row>
    <row r="31">
      <c r="B31" s="2" t="inlineStr">
        <is>
          <t>Full grid is on the Sensitivity tab. This panel shows EV at the base case (centre cell) plus ±1 step in each direction.</t>
        </is>
      </c>
    </row>
    <row r="32">
      <c r="B32" s="7" t="inlineStr">
        <is>
          <t>WACC ↓ / g →</t>
        </is>
      </c>
      <c r="C32" s="7" t="inlineStr">
        <is>
          <t>g − 1 step</t>
        </is>
      </c>
      <c r="D32" s="7" t="inlineStr">
        <is>
          <t>Base g</t>
        </is>
      </c>
      <c r="E32" s="7" t="inlineStr">
        <is>
          <t>g + 1 step</t>
        </is>
      </c>
    </row>
    <row r="33">
      <c r="B33" s="22" t="inlineStr">
        <is>
          <t>WACC − 1 step</t>
        </is>
      </c>
      <c r="C33" s="18">
        <f>INDEX('Sensitivity'!C7:M17,sens_wacc_count,sens_terminal_g_count)</f>
        <v/>
      </c>
      <c r="D33" s="18">
        <f>INDEX('Sensitivity'!C7:M17,sens_wacc_count,sens_terminal_g_count+1)</f>
        <v/>
      </c>
      <c r="E33" s="18">
        <f>INDEX('Sensitivity'!C7:M17,sens_wacc_count,sens_terminal_g_count+2)</f>
        <v/>
      </c>
    </row>
    <row r="34">
      <c r="B34" s="22" t="inlineStr">
        <is>
          <t>Base WACC</t>
        </is>
      </c>
      <c r="C34" s="18">
        <f>INDEX('Sensitivity'!C7:M17,sens_wacc_count+1,sens_terminal_g_count)</f>
        <v/>
      </c>
      <c r="D34" s="25">
        <f>INDEX('Sensitivity'!C7:M17,sens_wacc_count+1,sens_terminal_g_count+1)</f>
        <v/>
      </c>
      <c r="E34" s="18">
        <f>INDEX('Sensitivity'!C7:M17,sens_wacc_count+1,sens_terminal_g_count+2)</f>
        <v/>
      </c>
    </row>
    <row r="35">
      <c r="B35" s="22" t="inlineStr">
        <is>
          <t>WACC + 1 step</t>
        </is>
      </c>
      <c r="C35" s="18">
        <f>INDEX('Sensitivity'!C7:M17,sens_wacc_count+2,sens_terminal_g_count)</f>
        <v/>
      </c>
      <c r="D35" s="18">
        <f>INDEX('Sensitivity'!C7:M17,sens_wacc_count+2,sens_terminal_g_count+1)</f>
        <v/>
      </c>
      <c r="E35" s="18">
        <f>INDEX('Sensitivity'!C7:M17,sens_wacc_count+2,sens_terminal_g_count+2)</f>
        <v/>
      </c>
    </row>
    <row r="38">
      <c r="B38" s="3" t="inlineStr">
        <is>
          <t>Backtesting — historical revenue vs Y0 base</t>
        </is>
      </c>
    </row>
    <row r="39">
      <c r="B39" s="2" t="inlineStr">
        <is>
          <t>Sanity check: Y0 base revenue (cascading into Projections) should equal the most-recent FY-1 audited revenue.</t>
        </is>
      </c>
    </row>
    <row r="40">
      <c r="B40" s="7" t="inlineStr"/>
      <c r="C40" s="7" t="inlineStr">
        <is>
          <t>FY-3</t>
        </is>
      </c>
      <c r="D40" s="7" t="inlineStr">
        <is>
          <t>FY-2</t>
        </is>
      </c>
      <c r="E40" s="7" t="inlineStr">
        <is>
          <t>FY-1</t>
        </is>
      </c>
      <c r="F40" s="7" t="inlineStr">
        <is>
          <t>Y0 (Projections)</t>
        </is>
      </c>
      <c r="G40" s="7" t="inlineStr">
        <is>
          <t>Δ Y0 vs FY-1</t>
        </is>
      </c>
    </row>
    <row r="41">
      <c r="B41" s="28" t="inlineStr">
        <is>
          <t>Revenue</t>
        </is>
      </c>
      <c r="C41" s="18">
        <f>'Historical FS'!E7</f>
        <v/>
      </c>
      <c r="D41" s="18">
        <f>'Historical FS'!F7</f>
        <v/>
      </c>
      <c r="E41" s="18">
        <f>'Historical FS'!G7</f>
        <v/>
      </c>
      <c r="F41" s="18">
        <f>revenue_y0</f>
        <v/>
      </c>
      <c r="G41" s="29">
        <f>IFERROR(revenue_y0/'Historical FS'!G7-1,"n/a")</f>
        <v/>
      </c>
    </row>
    <row r="42">
      <c r="B42" s="28" t="inlineStr">
        <is>
          <t>EBITDA</t>
        </is>
      </c>
      <c r="C42" s="18">
        <f>'Historical FS'!E13</f>
        <v/>
      </c>
      <c r="D42" s="18">
        <f>'Historical FS'!F13</f>
        <v/>
      </c>
      <c r="E42" s="18">
        <f>'Historical FS'!G13</f>
        <v/>
      </c>
      <c r="F42" s="18" t="inlineStr">
        <is>
          <t>—</t>
        </is>
      </c>
      <c r="G42" s="29" t="inlineStr">
        <is>
          <t>—</t>
        </is>
      </c>
    </row>
    <row r="45">
      <c r="B45" s="2" t="inlineStr">
        <is>
          <t>Open the web dashboard (Orionmano · Companies · this entity · Valuation tab) for interactive Football Field, Sensitivity heatmap, FCFF projection, and CoCo multiple charts.</t>
        </is>
      </c>
    </row>
  </sheetData>
  <mergeCells count="10">
    <mergeCell ref="A1:H1"/>
    <mergeCell ref="B4:H4"/>
    <mergeCell ref="A2:H2"/>
    <mergeCell ref="B39:H39"/>
    <mergeCell ref="B45:H45"/>
    <mergeCell ref="B30:H30"/>
    <mergeCell ref="B38:H38"/>
    <mergeCell ref="B11:H11"/>
    <mergeCell ref="B20:H20"/>
    <mergeCell ref="B31:H3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89"/>
  <sheetViews>
    <sheetView workbookViewId="0">
      <selection activeCell="A1" sqref="A1"/>
    </sheetView>
  </sheetViews>
  <sheetFormatPr baseColWidth="8" defaultRowHeight="15"/>
  <cols>
    <col width="32" customWidth="1" min="1" max="1"/>
    <col width="38" customWidth="1" min="2" max="2"/>
    <col width="12" customWidth="1" min="3" max="3"/>
    <col width="18" customWidth="1" min="4" max="4"/>
    <col width="18" customWidth="1" min="5" max="5"/>
    <col width="22" customWidth="1" min="6" max="6"/>
    <col width="36" customWidth="1" min="7" max="7"/>
    <col width="30" customWidth="1" min="8" max="8"/>
  </cols>
  <sheetData>
    <row r="1" ht="22" customHeight="1">
      <c r="A1" s="1" t="inlineStr">
        <is>
          <t>Inputs — single source of truth for all valuation parameters</t>
        </is>
      </c>
    </row>
    <row r="2">
      <c r="A2" s="2" t="inlineStr">
        <is>
          <t>Every parameter below is a named range. Downstream sheets reference these by name, not by cell coordinate. The Source / Source detail / Notes columns record the audit trail.</t>
        </is>
      </c>
    </row>
    <row r="4">
      <c r="A4" s="30" t="inlineStr">
        <is>
          <t>id</t>
        </is>
      </c>
      <c r="B4" s="30" t="inlineStr">
        <is>
          <t>Parameter</t>
        </is>
      </c>
      <c r="C4" s="30" t="inlineStr">
        <is>
          <t>Type</t>
        </is>
      </c>
      <c r="D4" s="30" t="inlineStr">
        <is>
          <t>Value (Per Mgmt)</t>
        </is>
      </c>
      <c r="E4" s="30" t="inlineStr">
        <is>
          <t>Value (Independent)</t>
        </is>
      </c>
      <c r="F4" s="30" t="inlineStr">
        <is>
          <t>Source</t>
        </is>
      </c>
      <c r="G4" s="30" t="inlineStr">
        <is>
          <t>Source detail</t>
        </is>
      </c>
      <c r="H4" s="30" t="inlineStr">
        <is>
          <t>Notes</t>
        </is>
      </c>
    </row>
    <row r="6" ht="18" customHeight="1">
      <c r="A6" s="3" t="inlineStr">
        <is>
          <t>Section A — Engagement metadata  (Core)</t>
        </is>
      </c>
    </row>
    <row r="7">
      <c r="A7" s="31" t="inlineStr">
        <is>
          <t>company_name</t>
        </is>
      </c>
      <c r="B7" s="4" t="inlineStr">
        <is>
          <t>Company name</t>
        </is>
      </c>
      <c r="C7" s="2" t="inlineStr">
        <is>
          <t>text</t>
        </is>
      </c>
      <c r="D7" s="32" t="n"/>
      <c r="E7" s="32" t="n"/>
      <c r="F7" s="33" t="n"/>
      <c r="G7" s="33" t="n"/>
      <c r="H7" s="33" t="n"/>
    </row>
    <row r="8">
      <c r="A8" s="31" t="inlineStr">
        <is>
          <t>company_country</t>
        </is>
      </c>
      <c r="B8" s="4" t="inlineStr">
        <is>
          <t>Country of incorporation</t>
        </is>
      </c>
      <c r="C8" s="2" t="inlineStr">
        <is>
          <t>enum</t>
        </is>
      </c>
      <c r="D8" s="32" t="n"/>
      <c r="E8" s="32" t="n"/>
      <c r="F8" s="33" t="n"/>
      <c r="G8" s="33" t="n"/>
      <c r="H8" s="33" t="n"/>
    </row>
    <row r="9">
      <c r="A9" s="31" t="inlineStr">
        <is>
          <t>company_industry_us</t>
        </is>
      </c>
      <c r="B9" s="4" t="inlineStr">
        <is>
          <t>Industry (US classification)</t>
        </is>
      </c>
      <c r="C9" s="2" t="inlineStr">
        <is>
          <t>enum</t>
        </is>
      </c>
      <c r="D9" s="32" t="n"/>
      <c r="E9" s="32" t="n"/>
      <c r="F9" s="33" t="n"/>
      <c r="G9" s="33" t="n"/>
      <c r="H9" s="33" t="n"/>
    </row>
    <row r="10">
      <c r="A10" s="31" t="inlineStr">
        <is>
          <t>company_industry_global</t>
        </is>
      </c>
      <c r="B10" s="4" t="inlineStr">
        <is>
          <t>Industry (Global classification)</t>
        </is>
      </c>
      <c r="C10" s="2" t="inlineStr">
        <is>
          <t>enum</t>
        </is>
      </c>
      <c r="D10" s="32" t="n"/>
      <c r="E10" s="32" t="n"/>
      <c r="F10" s="33" t="n"/>
      <c r="G10" s="33" t="n"/>
      <c r="H10" s="33" t="n"/>
    </row>
    <row r="11">
      <c r="A11" s="31" t="inlineStr">
        <is>
          <t>valuation_date</t>
        </is>
      </c>
      <c r="B11" s="4" t="inlineStr">
        <is>
          <t>Valuation date</t>
        </is>
      </c>
      <c r="C11" s="2" t="inlineStr">
        <is>
          <t>date</t>
        </is>
      </c>
      <c r="D11" s="32" t="n"/>
      <c r="E11" s="32" t="n"/>
      <c r="F11" s="33" t="n"/>
      <c r="G11" s="33" t="n"/>
      <c r="H11" s="33" t="n"/>
    </row>
    <row r="12">
      <c r="A12" s="31" t="inlineStr">
        <is>
          <t>report_purpose</t>
        </is>
      </c>
      <c r="B12" s="4" t="inlineStr">
        <is>
          <t>Report purpose</t>
        </is>
      </c>
      <c r="C12" s="2" t="inlineStr">
        <is>
          <t>enum</t>
        </is>
      </c>
      <c r="D12" s="32" t="n"/>
      <c r="E12" s="32" t="n"/>
      <c r="F12" s="33" t="n"/>
      <c r="G12" s="33" t="n"/>
      <c r="H12" s="33" t="n"/>
    </row>
    <row r="13">
      <c r="A13" s="31" t="inlineStr">
        <is>
          <t>accounting_standard</t>
        </is>
      </c>
      <c r="B13" s="4" t="inlineStr">
        <is>
          <t>Accounting standard</t>
        </is>
      </c>
      <c r="C13" s="2" t="inlineStr">
        <is>
          <t>enum</t>
        </is>
      </c>
      <c r="D13" s="32" t="n"/>
      <c r="E13" s="32" t="n"/>
      <c r="F13" s="33" t="n"/>
      <c r="G13" s="33" t="n"/>
      <c r="H13" s="33" t="n"/>
    </row>
    <row r="14">
      <c r="A14" s="31" t="inlineStr">
        <is>
          <t>engagement_team_partner</t>
        </is>
      </c>
      <c r="B14" s="4" t="inlineStr">
        <is>
          <t>Engagement partner</t>
        </is>
      </c>
      <c r="C14" s="2" t="inlineStr">
        <is>
          <t>text</t>
        </is>
      </c>
      <c r="D14" s="32" t="n"/>
      <c r="E14" s="32" t="n"/>
      <c r="F14" s="33" t="n"/>
      <c r="G14" s="33" t="n"/>
      <c r="H14" s="33" t="n"/>
    </row>
    <row r="15">
      <c r="A15" s="31" t="inlineStr">
        <is>
          <t>engagement_team_manager</t>
        </is>
      </c>
      <c r="B15" s="4" t="inlineStr">
        <is>
          <t>Engagement manager</t>
        </is>
      </c>
      <c r="C15" s="2" t="inlineStr">
        <is>
          <t>text</t>
        </is>
      </c>
      <c r="D15" s="32" t="n"/>
      <c r="E15" s="32" t="n"/>
      <c r="F15" s="33" t="n"/>
      <c r="G15" s="33" t="n"/>
      <c r="H15" s="33" t="n"/>
    </row>
    <row r="16">
      <c r="A16" s="31" t="inlineStr">
        <is>
          <t>engagement_department</t>
        </is>
      </c>
      <c r="B16" s="4" t="inlineStr">
        <is>
          <t>Department</t>
        </is>
      </c>
      <c r="C16" s="2" t="inlineStr">
        <is>
          <t>text</t>
        </is>
      </c>
      <c r="D16" s="32" t="n"/>
      <c r="E16" s="32" t="n"/>
      <c r="F16" s="33" t="n"/>
      <c r="G16" s="33" t="n"/>
      <c r="H16" s="33" t="n"/>
    </row>
    <row r="17">
      <c r="A17" s="31" t="inlineStr">
        <is>
          <t>client_name</t>
        </is>
      </c>
      <c r="B17" s="4" t="inlineStr">
        <is>
          <t>Client (engaging party)</t>
        </is>
      </c>
      <c r="C17" s="2" t="inlineStr">
        <is>
          <t>text</t>
        </is>
      </c>
      <c r="D17" s="32" t="n"/>
      <c r="E17" s="32" t="n"/>
      <c r="F17" s="33" t="n"/>
      <c r="G17" s="33" t="n"/>
      <c r="H17" s="33" t="n"/>
    </row>
    <row r="19" ht="18" customHeight="1">
      <c r="A19" s="3" t="inlineStr">
        <is>
          <t>Section B — Currency &amp; units  (Core)</t>
        </is>
      </c>
    </row>
    <row r="20">
      <c r="A20" s="31" t="inlineStr">
        <is>
          <t>currency</t>
        </is>
      </c>
      <c r="B20" s="4" t="inlineStr">
        <is>
          <t>Reporting currency</t>
        </is>
      </c>
      <c r="C20" s="2" t="inlineStr">
        <is>
          <t>enum</t>
        </is>
      </c>
      <c r="D20" s="32" t="n"/>
      <c r="E20" s="32" t="n"/>
      <c r="F20" s="33" t="n"/>
      <c r="G20" s="33" t="n"/>
      <c r="H20" s="33" t="n"/>
    </row>
    <row r="21">
      <c r="A21" s="31" t="inlineStr">
        <is>
          <t>unit</t>
        </is>
      </c>
      <c r="B21" s="4" t="inlineStr">
        <is>
          <t>Unit of presentation</t>
        </is>
      </c>
      <c r="C21" s="2" t="inlineStr">
        <is>
          <t>enum</t>
        </is>
      </c>
      <c r="D21" s="32" t="n"/>
      <c r="E21" s="32" t="n"/>
      <c r="F21" s="33" t="n"/>
      <c r="G21" s="33" t="n"/>
      <c r="H21" s="33" t="n"/>
    </row>
    <row r="22">
      <c r="A22" s="31" t="inlineStr">
        <is>
          <t>currency_alt</t>
        </is>
      </c>
      <c r="B22" s="4" t="inlineStr">
        <is>
          <t>Secondary display currency (optional)</t>
        </is>
      </c>
      <c r="C22" s="2" t="inlineStr">
        <is>
          <t>enum</t>
        </is>
      </c>
      <c r="D22" s="32" t="n"/>
      <c r="E22" s="32" t="n"/>
      <c r="F22" s="33" t="n"/>
      <c r="G22" s="33" t="n"/>
      <c r="H22" s="33" t="n"/>
    </row>
    <row r="23">
      <c r="A23" s="31" t="inlineStr">
        <is>
          <t>fx_rate_alt</t>
        </is>
      </c>
      <c r="B23" s="4" t="inlineStr">
        <is>
          <t>FX rate to alternate currency</t>
        </is>
      </c>
      <c r="C23" s="2" t="inlineStr">
        <is>
          <t>number</t>
        </is>
      </c>
      <c r="D23" s="32" t="n"/>
      <c r="E23" s="32" t="n"/>
      <c r="F23" s="33" t="n"/>
      <c r="G23" s="33" t="n"/>
      <c r="H23" s="33" t="n"/>
    </row>
    <row r="25" ht="18" customHeight="1">
      <c r="A25" s="3" t="inlineStr">
        <is>
          <t>Section C — Tax rule  (Core)</t>
        </is>
      </c>
    </row>
    <row r="26">
      <c r="A26" s="31" t="inlineStr">
        <is>
          <t>tax_jurisdiction</t>
        </is>
      </c>
      <c r="B26" s="4" t="inlineStr">
        <is>
          <t>Tax jurisdiction</t>
        </is>
      </c>
      <c r="C26" s="2" t="inlineStr">
        <is>
          <t>enum</t>
        </is>
      </c>
      <c r="D26" s="32" t="n"/>
      <c r="E26" s="32" t="n"/>
      <c r="F26" s="33" t="n"/>
      <c r="G26" s="33" t="n"/>
      <c r="H26" s="33" t="n"/>
    </row>
    <row r="27">
      <c r="A27" s="31" t="inlineStr">
        <is>
          <t>tax_type</t>
        </is>
      </c>
      <c r="B27" s="4" t="inlineStr">
        <is>
          <t>Tax structure</t>
        </is>
      </c>
      <c r="C27" s="2" t="inlineStr">
        <is>
          <t>enum</t>
        </is>
      </c>
      <c r="D27" s="32" t="n"/>
      <c r="E27" s="32" t="n"/>
      <c r="F27" s="33" t="n"/>
      <c r="G27" s="33" t="n"/>
      <c r="H27" s="34" t="inlineStr">
        <is>
          <t>flat | two_tier | progressive</t>
        </is>
      </c>
    </row>
    <row r="28">
      <c r="A28" s="31" t="inlineStr">
        <is>
          <t>tax_rate_low</t>
        </is>
      </c>
      <c r="B28" s="4" t="inlineStr">
        <is>
          <t>Low-tier rate</t>
        </is>
      </c>
      <c r="C28" s="2" t="inlineStr">
        <is>
          <t>percentage</t>
        </is>
      </c>
      <c r="D28" s="32" t="n"/>
      <c r="E28" s="32" t="n"/>
      <c r="F28" s="33" t="n"/>
      <c r="G28" s="33" t="n"/>
      <c r="H28" s="33" t="n"/>
    </row>
    <row r="29">
      <c r="A29" s="31" t="inlineStr">
        <is>
          <t>tax_rate_high</t>
        </is>
      </c>
      <c r="B29" s="4" t="inlineStr">
        <is>
          <t>High-tier rate (or flat rate)</t>
        </is>
      </c>
      <c r="C29" s="2" t="inlineStr">
        <is>
          <t>percentage</t>
        </is>
      </c>
      <c r="D29" s="32" t="n"/>
      <c r="E29" s="32" t="n"/>
      <c r="F29" s="33" t="n"/>
      <c r="G29" s="33" t="n"/>
      <c r="H29" s="33" t="n"/>
    </row>
    <row r="30">
      <c r="A30" s="31" t="inlineStr">
        <is>
          <t>tax_threshold</t>
        </is>
      </c>
      <c r="B30" s="4" t="inlineStr">
        <is>
          <t>Threshold between tiers</t>
        </is>
      </c>
      <c r="C30" s="2" t="inlineStr">
        <is>
          <t>currency</t>
        </is>
      </c>
      <c r="D30" s="32" t="n"/>
      <c r="E30" s="32" t="n"/>
      <c r="F30" s="33" t="n"/>
      <c r="G30" s="33" t="n"/>
      <c r="H30" s="33" t="n"/>
    </row>
    <row r="31">
      <c r="A31" s="31" t="inlineStr">
        <is>
          <t>tax_effective_rate</t>
        </is>
      </c>
      <c r="B31" s="4" t="inlineStr">
        <is>
          <t>Effective rate (override)</t>
        </is>
      </c>
      <c r="C31" s="2" t="inlineStr">
        <is>
          <t>percentage</t>
        </is>
      </c>
      <c r="D31" s="32" t="n"/>
      <c r="E31" s="32" t="n"/>
      <c r="F31" s="33" t="n"/>
      <c r="G31" s="33" t="n"/>
      <c r="H31" s="33" t="n"/>
    </row>
    <row r="33" ht="18" customHeight="1">
      <c r="A33" s="3" t="inlineStr">
        <is>
          <t>Section D — Projection drivers  (Core)</t>
        </is>
      </c>
    </row>
    <row r="34">
      <c r="A34" s="31" t="inlineStr">
        <is>
          <t>projection_years</t>
        </is>
      </c>
      <c r="B34" s="4" t="inlineStr">
        <is>
          <t>Explicit forecast years</t>
        </is>
      </c>
      <c r="C34" s="2" t="inlineStr">
        <is>
          <t>number</t>
        </is>
      </c>
      <c r="D34" s="32" t="n"/>
      <c r="E34" s="32" t="n"/>
      <c r="F34" s="33" t="n"/>
      <c r="G34" s="33" t="n"/>
      <c r="H34" s="33" t="n"/>
    </row>
    <row r="35">
      <c r="A35" s="31" t="inlineStr">
        <is>
          <t>revenue_growth_method</t>
        </is>
      </c>
      <c r="B35" s="4" t="inlineStr">
        <is>
          <t>Revenue growth method</t>
        </is>
      </c>
      <c r="C35" s="2" t="inlineStr">
        <is>
          <t>enum</t>
        </is>
      </c>
      <c r="D35" s="32" t="n"/>
      <c r="E35" s="32" t="n"/>
      <c r="F35" s="33" t="n"/>
      <c r="G35" s="33" t="n"/>
      <c r="H35" s="34" t="inlineStr">
        <is>
          <t>flat | declining | staged | per_year</t>
        </is>
      </c>
    </row>
    <row r="36">
      <c r="A36" s="31" t="inlineStr">
        <is>
          <t>revenue_y0</t>
        </is>
      </c>
      <c r="B36" s="4" t="inlineStr">
        <is>
          <t>Revenue base (Y0 / LTM)</t>
        </is>
      </c>
      <c r="C36" s="2" t="inlineStr">
        <is>
          <t>currency</t>
        </is>
      </c>
      <c r="D36" s="32" t="n"/>
      <c r="E36" s="32" t="n"/>
      <c r="F36" s="33" t="n"/>
      <c r="G36" s="33" t="n"/>
      <c r="H36" s="34" t="inlineStr">
        <is>
          <t>Last reported full-year revenue; cascades into Projections</t>
        </is>
      </c>
    </row>
    <row r="37">
      <c r="A37" s="31" t="inlineStr">
        <is>
          <t>nwc_y0</t>
        </is>
      </c>
      <c r="B37" s="4" t="inlineStr">
        <is>
          <t>Net working capital (Y0)</t>
        </is>
      </c>
      <c r="C37" s="2" t="inlineStr">
        <is>
          <t>currency</t>
        </is>
      </c>
      <c r="D37" s="32" t="n"/>
      <c r="E37" s="32" t="n"/>
      <c r="F37" s="33" t="n"/>
      <c r="G37" s="33" t="n"/>
      <c r="H37" s="34" t="inlineStr">
        <is>
          <t>Audited Y0 NWC; required for Y1 ΔNWC computation</t>
        </is>
      </c>
    </row>
    <row r="38">
      <c r="A38" s="31" t="inlineStr">
        <is>
          <t>gross_profit_y0</t>
        </is>
      </c>
      <c r="B38" s="4" t="inlineStr">
        <is>
          <t>Gross profit (Y0)</t>
        </is>
      </c>
      <c r="C38" s="2" t="inlineStr">
        <is>
          <t>currency</t>
        </is>
      </c>
      <c r="D38" s="32" t="n"/>
      <c r="E38" s="32" t="n"/>
      <c r="F38" s="33" t="n"/>
      <c r="G38" s="33" t="n"/>
      <c r="H38" s="34" t="inlineStr">
        <is>
          <t>Audited Y0 gross profit; populates Projections!C12</t>
        </is>
      </c>
    </row>
    <row r="39">
      <c r="A39" s="31" t="inlineStr">
        <is>
          <t>opex_y0</t>
        </is>
      </c>
      <c r="B39" s="4" t="inlineStr">
        <is>
          <t>Operating expenses (Y0)</t>
        </is>
      </c>
      <c r="C39" s="2" t="inlineStr">
        <is>
          <t>currency</t>
        </is>
      </c>
      <c r="D39" s="32" t="n"/>
      <c r="E39" s="32" t="n"/>
      <c r="F39" s="33" t="n"/>
      <c r="G39" s="33" t="n"/>
      <c r="H39" s="34" t="inlineStr">
        <is>
          <t>Audited Y0 opex (negative); populates Projections!C14</t>
        </is>
      </c>
    </row>
    <row r="40">
      <c r="A40" s="31" t="inlineStr">
        <is>
          <t>ebitda_y0</t>
        </is>
      </c>
      <c r="B40" s="4" t="inlineStr">
        <is>
          <t>EBITDA (Y0)</t>
        </is>
      </c>
      <c r="C40" s="2" t="inlineStr">
        <is>
          <t>currency</t>
        </is>
      </c>
      <c r="D40" s="32" t="n"/>
      <c r="E40" s="32" t="n"/>
      <c r="F40" s="33" t="n"/>
      <c r="G40" s="33" t="n"/>
      <c r="H40" s="34" t="inlineStr">
        <is>
          <t>Audited Y0 EBITDA; populates Projections!C15</t>
        </is>
      </c>
    </row>
    <row r="41">
      <c r="A41" s="31" t="inlineStr">
        <is>
          <t>ebit_y0</t>
        </is>
      </c>
      <c r="B41" s="4" t="inlineStr">
        <is>
          <t>EBIT (Y0)</t>
        </is>
      </c>
      <c r="C41" s="2" t="inlineStr">
        <is>
          <t>currency</t>
        </is>
      </c>
      <c r="D41" s="32" t="n"/>
      <c r="E41" s="32" t="n"/>
      <c r="F41" s="33" t="n"/>
      <c r="G41" s="33" t="n"/>
      <c r="H41" s="34" t="inlineStr">
        <is>
          <t>Audited Y0 EBIT; populates Projections!C18</t>
        </is>
      </c>
    </row>
    <row r="42">
      <c r="A42" s="31" t="inlineStr">
        <is>
          <t>revenue_growth_y1</t>
        </is>
      </c>
      <c r="B42" s="4" t="inlineStr">
        <is>
          <t>Revenue growth (Y1)</t>
        </is>
      </c>
      <c r="C42" s="2" t="inlineStr">
        <is>
          <t>percentage</t>
        </is>
      </c>
      <c r="D42" s="32" t="n"/>
      <c r="E42" s="32" t="n"/>
      <c r="F42" s="33" t="n"/>
      <c r="G42" s="33" t="n"/>
      <c r="H42" s="33" t="n"/>
    </row>
    <row r="43">
      <c r="A43" s="31" t="inlineStr">
        <is>
          <t>revenue_growth_y2</t>
        </is>
      </c>
      <c r="B43" s="4" t="inlineStr">
        <is>
          <t>Revenue growth (Y2)</t>
        </is>
      </c>
      <c r="C43" s="2" t="inlineStr">
        <is>
          <t>percentage</t>
        </is>
      </c>
      <c r="D43" s="32" t="n"/>
      <c r="E43" s="32" t="n"/>
      <c r="F43" s="33" t="n"/>
      <c r="G43" s="33" t="n"/>
      <c r="H43" s="33" t="n"/>
    </row>
    <row r="44">
      <c r="A44" s="31" t="inlineStr">
        <is>
          <t>revenue_growth_y3</t>
        </is>
      </c>
      <c r="B44" s="4" t="inlineStr">
        <is>
          <t>Revenue growth (Y3)</t>
        </is>
      </c>
      <c r="C44" s="2" t="inlineStr">
        <is>
          <t>percentage</t>
        </is>
      </c>
      <c r="D44" s="32" t="n"/>
      <c r="E44" s="32" t="n"/>
      <c r="F44" s="33" t="n"/>
      <c r="G44" s="33" t="n"/>
      <c r="H44" s="33" t="n"/>
    </row>
    <row r="45">
      <c r="A45" s="31" t="inlineStr">
        <is>
          <t>revenue_growth_y4</t>
        </is>
      </c>
      <c r="B45" s="4" t="inlineStr">
        <is>
          <t>Revenue growth (Y4)</t>
        </is>
      </c>
      <c r="C45" s="2" t="inlineStr">
        <is>
          <t>percentage</t>
        </is>
      </c>
      <c r="D45" s="32" t="n"/>
      <c r="E45" s="32" t="n"/>
      <c r="F45" s="33" t="n"/>
      <c r="G45" s="33" t="n"/>
      <c r="H45" s="33" t="n"/>
    </row>
    <row r="46">
      <c r="A46" s="31" t="inlineStr">
        <is>
          <t>revenue_growth_y5</t>
        </is>
      </c>
      <c r="B46" s="4" t="inlineStr">
        <is>
          <t>Revenue growth (Y5)</t>
        </is>
      </c>
      <c r="C46" s="2" t="inlineStr">
        <is>
          <t>percentage</t>
        </is>
      </c>
      <c r="D46" s="32" t="n"/>
      <c r="E46" s="32" t="n"/>
      <c r="F46" s="33" t="n"/>
      <c r="G46" s="33" t="n"/>
      <c r="H46" s="33" t="n"/>
    </row>
    <row r="47">
      <c r="A47" s="31" t="inlineStr">
        <is>
          <t>gross_margin_y1</t>
        </is>
      </c>
      <c r="B47" s="4" t="inlineStr">
        <is>
          <t>Gross margin (Y1)</t>
        </is>
      </c>
      <c r="C47" s="2" t="inlineStr">
        <is>
          <t>percentage</t>
        </is>
      </c>
      <c r="D47" s="32" t="n"/>
      <c r="E47" s="32" t="n"/>
      <c r="F47" s="33" t="n"/>
      <c r="G47" s="33" t="n"/>
      <c r="H47" s="33" t="n"/>
    </row>
    <row r="48">
      <c r="A48" s="31" t="inlineStr">
        <is>
          <t>gross_margin_y2</t>
        </is>
      </c>
      <c r="B48" s="4" t="inlineStr">
        <is>
          <t>Gross margin (Y2)</t>
        </is>
      </c>
      <c r="C48" s="2" t="inlineStr">
        <is>
          <t>percentage</t>
        </is>
      </c>
      <c r="D48" s="32" t="n"/>
      <c r="E48" s="32" t="n"/>
      <c r="F48" s="33" t="n"/>
      <c r="G48" s="33" t="n"/>
      <c r="H48" s="33" t="n"/>
    </row>
    <row r="49">
      <c r="A49" s="31" t="inlineStr">
        <is>
          <t>gross_margin_y3</t>
        </is>
      </c>
      <c r="B49" s="4" t="inlineStr">
        <is>
          <t>Gross margin (Y3)</t>
        </is>
      </c>
      <c r="C49" s="2" t="inlineStr">
        <is>
          <t>percentage</t>
        </is>
      </c>
      <c r="D49" s="32" t="n"/>
      <c r="E49" s="32" t="n"/>
      <c r="F49" s="33" t="n"/>
      <c r="G49" s="33" t="n"/>
      <c r="H49" s="33" t="n"/>
    </row>
    <row r="50">
      <c r="A50" s="31" t="inlineStr">
        <is>
          <t>gross_margin_y4</t>
        </is>
      </c>
      <c r="B50" s="4" t="inlineStr">
        <is>
          <t>Gross margin (Y4)</t>
        </is>
      </c>
      <c r="C50" s="2" t="inlineStr">
        <is>
          <t>percentage</t>
        </is>
      </c>
      <c r="D50" s="32" t="n"/>
      <c r="E50" s="32" t="n"/>
      <c r="F50" s="33" t="n"/>
      <c r="G50" s="33" t="n"/>
      <c r="H50" s="33" t="n"/>
    </row>
    <row r="51">
      <c r="A51" s="31" t="inlineStr">
        <is>
          <t>gross_margin_y5</t>
        </is>
      </c>
      <c r="B51" s="4" t="inlineStr">
        <is>
          <t>Gross margin (Y5)</t>
        </is>
      </c>
      <c r="C51" s="2" t="inlineStr">
        <is>
          <t>percentage</t>
        </is>
      </c>
      <c r="D51" s="32" t="n"/>
      <c r="E51" s="32" t="n"/>
      <c r="F51" s="33" t="n"/>
      <c r="G51" s="33" t="n"/>
      <c r="H51" s="33" t="n"/>
    </row>
    <row r="52">
      <c r="A52" s="31" t="inlineStr">
        <is>
          <t>opex_pct_revenue_y1</t>
        </is>
      </c>
      <c r="B52" s="4" t="inlineStr">
        <is>
          <t>Opex % of revenue (Y1)</t>
        </is>
      </c>
      <c r="C52" s="2" t="inlineStr">
        <is>
          <t>percentage</t>
        </is>
      </c>
      <c r="D52" s="32" t="n"/>
      <c r="E52" s="32" t="n"/>
      <c r="F52" s="33" t="n"/>
      <c r="G52" s="33" t="n"/>
      <c r="H52" s="33" t="n"/>
    </row>
    <row r="53">
      <c r="A53" s="31" t="inlineStr">
        <is>
          <t>opex_pct_revenue_y2</t>
        </is>
      </c>
      <c r="B53" s="4" t="inlineStr">
        <is>
          <t>Opex % of revenue (Y2)</t>
        </is>
      </c>
      <c r="C53" s="2" t="inlineStr">
        <is>
          <t>percentage</t>
        </is>
      </c>
      <c r="D53" s="32" t="n"/>
      <c r="E53" s="32" t="n"/>
      <c r="F53" s="33" t="n"/>
      <c r="G53" s="33" t="n"/>
      <c r="H53" s="33" t="n"/>
    </row>
    <row r="54">
      <c r="A54" s="31" t="inlineStr">
        <is>
          <t>opex_pct_revenue_y3</t>
        </is>
      </c>
      <c r="B54" s="4" t="inlineStr">
        <is>
          <t>Opex % of revenue (Y3)</t>
        </is>
      </c>
      <c r="C54" s="2" t="inlineStr">
        <is>
          <t>percentage</t>
        </is>
      </c>
      <c r="D54" s="32" t="n"/>
      <c r="E54" s="32" t="n"/>
      <c r="F54" s="33" t="n"/>
      <c r="G54" s="33" t="n"/>
      <c r="H54" s="33" t="n"/>
    </row>
    <row r="55">
      <c r="A55" s="31" t="inlineStr">
        <is>
          <t>opex_pct_revenue_y4</t>
        </is>
      </c>
      <c r="B55" s="4" t="inlineStr">
        <is>
          <t>Opex % of revenue (Y4)</t>
        </is>
      </c>
      <c r="C55" s="2" t="inlineStr">
        <is>
          <t>percentage</t>
        </is>
      </c>
      <c r="D55" s="32" t="n"/>
      <c r="E55" s="32" t="n"/>
      <c r="F55" s="33" t="n"/>
      <c r="G55" s="33" t="n"/>
      <c r="H55" s="33" t="n"/>
    </row>
    <row r="56">
      <c r="A56" s="31" t="inlineStr">
        <is>
          <t>opex_pct_revenue_y5</t>
        </is>
      </c>
      <c r="B56" s="4" t="inlineStr">
        <is>
          <t>Opex % of revenue (Y5)</t>
        </is>
      </c>
      <c r="C56" s="2" t="inlineStr">
        <is>
          <t>percentage</t>
        </is>
      </c>
      <c r="D56" s="32" t="n"/>
      <c r="E56" s="32" t="n"/>
      <c r="F56" s="33" t="n"/>
      <c r="G56" s="33" t="n"/>
      <c r="H56" s="33" t="n"/>
    </row>
    <row r="57">
      <c r="A57" s="31" t="inlineStr">
        <is>
          <t>capex_pct_revenue_y1</t>
        </is>
      </c>
      <c r="B57" s="4" t="inlineStr">
        <is>
          <t>Capex % of revenue (Y1)</t>
        </is>
      </c>
      <c r="C57" s="2" t="inlineStr">
        <is>
          <t>percentage</t>
        </is>
      </c>
      <c r="D57" s="32" t="n"/>
      <c r="E57" s="32" t="n"/>
      <c r="F57" s="33" t="n"/>
      <c r="G57" s="33" t="n"/>
      <c r="H57" s="33" t="n"/>
    </row>
    <row r="58">
      <c r="A58" s="31" t="inlineStr">
        <is>
          <t>capex_pct_revenue_y2</t>
        </is>
      </c>
      <c r="B58" s="4" t="inlineStr">
        <is>
          <t>Capex % of revenue (Y2)</t>
        </is>
      </c>
      <c r="C58" s="2" t="inlineStr">
        <is>
          <t>percentage</t>
        </is>
      </c>
      <c r="D58" s="32" t="n"/>
      <c r="E58" s="32" t="n"/>
      <c r="F58" s="33" t="n"/>
      <c r="G58" s="33" t="n"/>
      <c r="H58" s="33" t="n"/>
    </row>
    <row r="59">
      <c r="A59" s="31" t="inlineStr">
        <is>
          <t>capex_pct_revenue_y3</t>
        </is>
      </c>
      <c r="B59" s="4" t="inlineStr">
        <is>
          <t>Capex % of revenue (Y3)</t>
        </is>
      </c>
      <c r="C59" s="2" t="inlineStr">
        <is>
          <t>percentage</t>
        </is>
      </c>
      <c r="D59" s="32" t="n"/>
      <c r="E59" s="32" t="n"/>
      <c r="F59" s="33" t="n"/>
      <c r="G59" s="33" t="n"/>
      <c r="H59" s="33" t="n"/>
    </row>
    <row r="60">
      <c r="A60" s="31" t="inlineStr">
        <is>
          <t>capex_pct_revenue_y4</t>
        </is>
      </c>
      <c r="B60" s="4" t="inlineStr">
        <is>
          <t>Capex % of revenue (Y4)</t>
        </is>
      </c>
      <c r="C60" s="2" t="inlineStr">
        <is>
          <t>percentage</t>
        </is>
      </c>
      <c r="D60" s="32" t="n"/>
      <c r="E60" s="32" t="n"/>
      <c r="F60" s="33" t="n"/>
      <c r="G60" s="33" t="n"/>
      <c r="H60" s="33" t="n"/>
    </row>
    <row r="61">
      <c r="A61" s="31" t="inlineStr">
        <is>
          <t>capex_pct_revenue_y5</t>
        </is>
      </c>
      <c r="B61" s="4" t="inlineStr">
        <is>
          <t>Capex % of revenue (Y5)</t>
        </is>
      </c>
      <c r="C61" s="2" t="inlineStr">
        <is>
          <t>percentage</t>
        </is>
      </c>
      <c r="D61" s="32" t="n"/>
      <c r="E61" s="32" t="n"/>
      <c r="F61" s="33" t="n"/>
      <c r="G61" s="33" t="n"/>
      <c r="H61" s="33" t="n"/>
    </row>
    <row r="62">
      <c r="A62" s="31" t="inlineStr">
        <is>
          <t>dep_pct_revenue_y1</t>
        </is>
      </c>
      <c r="B62" s="4" t="inlineStr">
        <is>
          <t>Depreciation % of revenue (Y1)</t>
        </is>
      </c>
      <c r="C62" s="2" t="inlineStr">
        <is>
          <t>percentage</t>
        </is>
      </c>
      <c r="D62" s="32" t="n"/>
      <c r="E62" s="32" t="n"/>
      <c r="F62" s="33" t="n"/>
      <c r="G62" s="33" t="n"/>
      <c r="H62" s="33" t="n"/>
    </row>
    <row r="63">
      <c r="A63" s="31" t="inlineStr">
        <is>
          <t>dep_pct_revenue_y2</t>
        </is>
      </c>
      <c r="B63" s="4" t="inlineStr">
        <is>
          <t>Depreciation % of revenue (Y2)</t>
        </is>
      </c>
      <c r="C63" s="2" t="inlineStr">
        <is>
          <t>percentage</t>
        </is>
      </c>
      <c r="D63" s="32" t="n"/>
      <c r="E63" s="32" t="n"/>
      <c r="F63" s="33" t="n"/>
      <c r="G63" s="33" t="n"/>
      <c r="H63" s="33" t="n"/>
    </row>
    <row r="64">
      <c r="A64" s="31" t="inlineStr">
        <is>
          <t>dep_pct_revenue_y3</t>
        </is>
      </c>
      <c r="B64" s="4" t="inlineStr">
        <is>
          <t>Depreciation % of revenue (Y3)</t>
        </is>
      </c>
      <c r="C64" s="2" t="inlineStr">
        <is>
          <t>percentage</t>
        </is>
      </c>
      <c r="D64" s="32" t="n"/>
      <c r="E64" s="32" t="n"/>
      <c r="F64" s="33" t="n"/>
      <c r="G64" s="33" t="n"/>
      <c r="H64" s="33" t="n"/>
    </row>
    <row r="65">
      <c r="A65" s="31" t="inlineStr">
        <is>
          <t>dep_pct_revenue_y4</t>
        </is>
      </c>
      <c r="B65" s="4" t="inlineStr">
        <is>
          <t>Depreciation % of revenue (Y4)</t>
        </is>
      </c>
      <c r="C65" s="2" t="inlineStr">
        <is>
          <t>percentage</t>
        </is>
      </c>
      <c r="D65" s="32" t="n"/>
      <c r="E65" s="32" t="n"/>
      <c r="F65" s="33" t="n"/>
      <c r="G65" s="33" t="n"/>
      <c r="H65" s="33" t="n"/>
    </row>
    <row r="66">
      <c r="A66" s="31" t="inlineStr">
        <is>
          <t>dep_pct_revenue_y5</t>
        </is>
      </c>
      <c r="B66" s="4" t="inlineStr">
        <is>
          <t>Depreciation % of revenue (Y5)</t>
        </is>
      </c>
      <c r="C66" s="2" t="inlineStr">
        <is>
          <t>percentage</t>
        </is>
      </c>
      <c r="D66" s="32" t="n"/>
      <c r="E66" s="32" t="n"/>
      <c r="F66" s="33" t="n"/>
      <c r="G66" s="33" t="n"/>
      <c r="H66" s="33" t="n"/>
    </row>
    <row r="67">
      <c r="A67" s="31" t="inlineStr">
        <is>
          <t>nwc_pct_sales_y1</t>
        </is>
      </c>
      <c r="B67" s="4" t="inlineStr">
        <is>
          <t>Working capital % of sales (Y1)</t>
        </is>
      </c>
      <c r="C67" s="2" t="inlineStr">
        <is>
          <t>percentage</t>
        </is>
      </c>
      <c r="D67" s="32" t="n"/>
      <c r="E67" s="32" t="n"/>
      <c r="F67" s="33" t="n"/>
      <c r="G67" s="33" t="n"/>
      <c r="H67" s="33" t="n"/>
    </row>
    <row r="68">
      <c r="A68" s="31" t="inlineStr">
        <is>
          <t>nwc_pct_sales_y2</t>
        </is>
      </c>
      <c r="B68" s="4" t="inlineStr">
        <is>
          <t>Working capital % of sales (Y2)</t>
        </is>
      </c>
      <c r="C68" s="2" t="inlineStr">
        <is>
          <t>percentage</t>
        </is>
      </c>
      <c r="D68" s="32" t="n"/>
      <c r="E68" s="32" t="n"/>
      <c r="F68" s="33" t="n"/>
      <c r="G68" s="33" t="n"/>
      <c r="H68" s="33" t="n"/>
    </row>
    <row r="69">
      <c r="A69" s="31" t="inlineStr">
        <is>
          <t>nwc_pct_sales_y3</t>
        </is>
      </c>
      <c r="B69" s="4" t="inlineStr">
        <is>
          <t>Working capital % of sales (Y3)</t>
        </is>
      </c>
      <c r="C69" s="2" t="inlineStr">
        <is>
          <t>percentage</t>
        </is>
      </c>
      <c r="D69" s="32" t="n"/>
      <c r="E69" s="32" t="n"/>
      <c r="F69" s="33" t="n"/>
      <c r="G69" s="33" t="n"/>
      <c r="H69" s="33" t="n"/>
    </row>
    <row r="70">
      <c r="A70" s="31" t="inlineStr">
        <is>
          <t>nwc_pct_sales_y4</t>
        </is>
      </c>
      <c r="B70" s="4" t="inlineStr">
        <is>
          <t>Working capital % of sales (Y4)</t>
        </is>
      </c>
      <c r="C70" s="2" t="inlineStr">
        <is>
          <t>percentage</t>
        </is>
      </c>
      <c r="D70" s="32" t="n"/>
      <c r="E70" s="32" t="n"/>
      <c r="F70" s="33" t="n"/>
      <c r="G70" s="33" t="n"/>
      <c r="H70" s="33" t="n"/>
    </row>
    <row r="71">
      <c r="A71" s="31" t="inlineStr">
        <is>
          <t>nwc_pct_sales_y5</t>
        </is>
      </c>
      <c r="B71" s="4" t="inlineStr">
        <is>
          <t>Working capital % of sales (Y5)</t>
        </is>
      </c>
      <c r="C71" s="2" t="inlineStr">
        <is>
          <t>percentage</t>
        </is>
      </c>
      <c r="D71" s="32" t="n"/>
      <c r="E71" s="32" t="n"/>
      <c r="F71" s="33" t="n"/>
      <c r="G71" s="33" t="n"/>
      <c r="H71" s="33" t="n"/>
    </row>
    <row r="73" ht="18" customHeight="1">
      <c r="A73" s="3" t="inlineStr">
        <is>
          <t>Section E — Terminal value  (Core)</t>
        </is>
      </c>
    </row>
    <row r="74">
      <c r="A74" s="31" t="inlineStr">
        <is>
          <t>terminal_method</t>
        </is>
      </c>
      <c r="B74" s="4" t="inlineStr">
        <is>
          <t>Terminal value method</t>
        </is>
      </c>
      <c r="C74" s="2" t="inlineStr">
        <is>
          <t>enum</t>
        </is>
      </c>
      <c r="D74" s="32" t="n"/>
      <c r="E74" s="32" t="n"/>
      <c r="F74" s="33" t="n"/>
      <c r="G74" s="33" t="n"/>
      <c r="H74" s="34" t="inlineStr">
        <is>
          <t>gordon_growth | exit_multiple</t>
        </is>
      </c>
    </row>
    <row r="75">
      <c r="A75" s="31" t="inlineStr">
        <is>
          <t>terminal_growth_rate</t>
        </is>
      </c>
      <c r="B75" s="4" t="inlineStr">
        <is>
          <t>Terminal growth rate</t>
        </is>
      </c>
      <c r="C75" s="2" t="inlineStr">
        <is>
          <t>percentage</t>
        </is>
      </c>
      <c r="D75" s="32" t="n"/>
      <c r="E75" s="32" t="n"/>
      <c r="F75" s="33" t="n"/>
      <c r="G75" s="33" t="n"/>
      <c r="H75" s="33" t="n"/>
    </row>
    <row r="76">
      <c r="A76" s="31" t="inlineStr">
        <is>
          <t>terminal_exit_multiple_type</t>
        </is>
      </c>
      <c r="B76" s="4" t="inlineStr">
        <is>
          <t>Exit multiple metric</t>
        </is>
      </c>
      <c r="C76" s="2" t="inlineStr">
        <is>
          <t>enum</t>
        </is>
      </c>
      <c r="D76" s="32" t="n"/>
      <c r="E76" s="32" t="n"/>
      <c r="F76" s="33" t="n"/>
      <c r="G76" s="33" t="n"/>
      <c r="H76" s="33" t="n"/>
    </row>
    <row r="77">
      <c r="A77" s="31" t="inlineStr">
        <is>
          <t>terminal_exit_multiple_value</t>
        </is>
      </c>
      <c r="B77" s="4" t="inlineStr">
        <is>
          <t>Exit multiple value</t>
        </is>
      </c>
      <c r="C77" s="2" t="inlineStr">
        <is>
          <t>number</t>
        </is>
      </c>
      <c r="D77" s="32" t="n"/>
      <c r="E77" s="32" t="n"/>
      <c r="F77" s="33" t="n"/>
      <c r="G77" s="33" t="n"/>
      <c r="H77" s="33" t="n"/>
    </row>
    <row r="79" ht="18" customHeight="1">
      <c r="A79" s="3" t="inlineStr">
        <is>
          <t>Section F — WACC inputs  (Core)</t>
        </is>
      </c>
    </row>
    <row r="80">
      <c r="A80" s="31" t="inlineStr">
        <is>
          <t>risk_free_rate</t>
        </is>
      </c>
      <c r="B80" s="4" t="inlineStr">
        <is>
          <t>Risk-free rate</t>
        </is>
      </c>
      <c r="C80" s="2" t="inlineStr">
        <is>
          <t>percentage</t>
        </is>
      </c>
      <c r="D80" s="32" t="n"/>
      <c r="E80" s="32" t="n"/>
      <c r="F80" s="33" t="n"/>
      <c r="G80" s="33" t="n"/>
      <c r="H80" s="33" t="n"/>
    </row>
    <row r="81">
      <c r="A81" s="31" t="inlineStr">
        <is>
          <t>risk_free_rate_source</t>
        </is>
      </c>
      <c r="B81" s="4" t="inlineStr">
        <is>
          <t>Risk-free rate source descriptor</t>
        </is>
      </c>
      <c r="C81" s="2" t="inlineStr">
        <is>
          <t>text</t>
        </is>
      </c>
      <c r="D81" s="32" t="n"/>
      <c r="E81" s="32" t="n"/>
      <c r="F81" s="33" t="n"/>
      <c r="G81" s="33" t="n"/>
      <c r="H81" s="33" t="n"/>
    </row>
    <row r="82">
      <c r="A82" s="31" t="inlineStr">
        <is>
          <t>equity_risk_premium</t>
        </is>
      </c>
      <c r="B82" s="4" t="inlineStr">
        <is>
          <t>Equity risk premium (ERP)</t>
        </is>
      </c>
      <c r="C82" s="2" t="inlineStr">
        <is>
          <t>percentage</t>
        </is>
      </c>
      <c r="D82" s="32" t="n"/>
      <c r="E82" s="32" t="n"/>
      <c r="F82" s="33" t="n"/>
      <c r="G82" s="33" t="n"/>
      <c r="H82" s="33" t="n"/>
    </row>
    <row r="83">
      <c r="A83" s="31" t="inlineStr">
        <is>
          <t>country_risk_premium</t>
        </is>
      </c>
      <c r="B83" s="4" t="inlineStr">
        <is>
          <t>Country risk premium</t>
        </is>
      </c>
      <c r="C83" s="2" t="inlineStr">
        <is>
          <t>percentage</t>
        </is>
      </c>
      <c r="D83" s="32" t="n"/>
      <c r="E83" s="32" t="n"/>
      <c r="F83" s="33" t="n"/>
      <c r="G83" s="33" t="n"/>
      <c r="H83" s="33" t="n"/>
    </row>
    <row r="84">
      <c r="A84" s="31" t="inlineStr">
        <is>
          <t>unlevered_beta</t>
        </is>
      </c>
      <c r="B84" s="4" t="inlineStr">
        <is>
          <t>Unlevered beta</t>
        </is>
      </c>
      <c r="C84" s="2" t="inlineStr">
        <is>
          <t>number</t>
        </is>
      </c>
      <c r="D84" s="32" t="n"/>
      <c r="E84" s="32" t="n"/>
      <c r="F84" s="33" t="n"/>
      <c r="G84" s="33" t="n"/>
      <c r="H84" s="33" t="n"/>
    </row>
    <row r="85">
      <c r="A85" s="31" t="inlineStr">
        <is>
          <t>target_debt_to_equity</t>
        </is>
      </c>
      <c r="B85" s="4" t="inlineStr">
        <is>
          <t>Target D/E ratio</t>
        </is>
      </c>
      <c r="C85" s="2" t="inlineStr">
        <is>
          <t>percentage</t>
        </is>
      </c>
      <c r="D85" s="32" t="n"/>
      <c r="E85" s="32" t="n"/>
      <c r="F85" s="33" t="n"/>
      <c r="G85" s="33" t="n"/>
      <c r="H85" s="33" t="n"/>
    </row>
    <row r="86">
      <c r="A86" s="31" t="inlineStr">
        <is>
          <t>levered_beta</t>
        </is>
      </c>
      <c r="B86" s="4" t="inlineStr">
        <is>
          <t>Levered beta (calculated)</t>
        </is>
      </c>
      <c r="C86" s="2" t="inlineStr">
        <is>
          <t>number</t>
        </is>
      </c>
      <c r="D86" s="35">
        <f>WACC!E10</f>
        <v/>
      </c>
      <c r="E86" s="35">
        <f>WACC!F10</f>
        <v/>
      </c>
      <c r="F86" s="33" t="n"/>
      <c r="G86" s="33" t="n"/>
      <c r="H86" s="33" t="n"/>
    </row>
    <row r="87">
      <c r="A87" s="31" t="inlineStr">
        <is>
          <t>size_premium</t>
        </is>
      </c>
      <c r="B87" s="4" t="inlineStr">
        <is>
          <t>Size premium</t>
        </is>
      </c>
      <c r="C87" s="2" t="inlineStr">
        <is>
          <t>percentage</t>
        </is>
      </c>
      <c r="D87" s="32" t="n"/>
      <c r="E87" s="32" t="n"/>
      <c r="F87" s="33" t="n"/>
      <c r="G87" s="33" t="n"/>
      <c r="H87" s="33" t="n"/>
    </row>
    <row r="88">
      <c r="A88" s="31" t="inlineStr">
        <is>
          <t>specific_risk_premium</t>
        </is>
      </c>
      <c r="B88" s="4" t="inlineStr">
        <is>
          <t>Specific risk premium</t>
        </is>
      </c>
      <c r="C88" s="2" t="inlineStr">
        <is>
          <t>percentage</t>
        </is>
      </c>
      <c r="D88" s="32" t="n"/>
      <c r="E88" s="32" t="n"/>
      <c r="F88" s="33" t="n"/>
      <c r="G88" s="33" t="n"/>
      <c r="H88" s="33" t="n"/>
    </row>
    <row r="89">
      <c r="A89" s="31" t="inlineStr">
        <is>
          <t>cost_of_equity</t>
        </is>
      </c>
      <c r="B89" s="4" t="inlineStr">
        <is>
          <t>Cost of equity (calculated)</t>
        </is>
      </c>
      <c r="C89" s="2" t="inlineStr">
        <is>
          <t>percentage</t>
        </is>
      </c>
      <c r="D89" s="36">
        <f>WACC!E16</f>
        <v/>
      </c>
      <c r="E89" s="36">
        <f>WACC!F16</f>
        <v/>
      </c>
      <c r="F89" s="33" t="n"/>
      <c r="G89" s="33" t="n"/>
      <c r="H89" s="33" t="n"/>
    </row>
    <row r="90">
      <c r="A90" s="31" t="inlineStr">
        <is>
          <t>pretax_cost_of_debt</t>
        </is>
      </c>
      <c r="B90" s="4" t="inlineStr">
        <is>
          <t>Pre-tax cost of debt</t>
        </is>
      </c>
      <c r="C90" s="2" t="inlineStr">
        <is>
          <t>percentage</t>
        </is>
      </c>
      <c r="D90" s="32" t="n"/>
      <c r="E90" s="32" t="n"/>
      <c r="F90" s="33" t="n"/>
      <c r="G90" s="33" t="n"/>
      <c r="H90" s="33" t="n"/>
    </row>
    <row r="91">
      <c r="A91" s="31" t="inlineStr">
        <is>
          <t>aftertax_cost_of_debt</t>
        </is>
      </c>
      <c r="B91" s="4" t="inlineStr">
        <is>
          <t>After-tax cost of debt (calculated)</t>
        </is>
      </c>
      <c r="C91" s="2" t="inlineStr">
        <is>
          <t>percentage</t>
        </is>
      </c>
      <c r="D91" s="36">
        <f>WACC!E20</f>
        <v/>
      </c>
      <c r="E91" s="36">
        <f>WACC!F20</f>
        <v/>
      </c>
      <c r="F91" s="33" t="n"/>
      <c r="G91" s="33" t="n"/>
      <c r="H91" s="33" t="n"/>
    </row>
    <row r="92">
      <c r="A92" s="31" t="inlineStr">
        <is>
          <t>target_debt_weight</t>
        </is>
      </c>
      <c r="B92" s="4" t="inlineStr">
        <is>
          <t>D/V (debt weight)</t>
        </is>
      </c>
      <c r="C92" s="2" t="inlineStr">
        <is>
          <t>percentage</t>
        </is>
      </c>
      <c r="D92" s="32" t="n"/>
      <c r="E92" s="32" t="n"/>
      <c r="F92" s="33" t="n"/>
      <c r="G92" s="33" t="n"/>
      <c r="H92" s="33" t="n"/>
    </row>
    <row r="93">
      <c r="A93" s="31" t="inlineStr">
        <is>
          <t>target_equity_weight</t>
        </is>
      </c>
      <c r="B93" s="4" t="inlineStr">
        <is>
          <t>E/V (equity weight)</t>
        </is>
      </c>
      <c r="C93" s="2" t="inlineStr">
        <is>
          <t>percentage</t>
        </is>
      </c>
      <c r="D93" s="32" t="n"/>
      <c r="E93" s="32" t="n"/>
      <c r="F93" s="33" t="n"/>
      <c r="G93" s="33" t="n"/>
      <c r="H93" s="33" t="n"/>
    </row>
    <row r="94">
      <c r="A94" s="31" t="inlineStr">
        <is>
          <t>wacc</t>
        </is>
      </c>
      <c r="B94" s="4" t="inlineStr">
        <is>
          <t>WACC (calculated)</t>
        </is>
      </c>
      <c r="C94" s="2" t="inlineStr">
        <is>
          <t>percentage</t>
        </is>
      </c>
      <c r="D94" s="36">
        <f>WACC!E25</f>
        <v/>
      </c>
      <c r="E94" s="36">
        <f>WACC!F25</f>
        <v/>
      </c>
      <c r="F94" s="33" t="n"/>
      <c r="G94" s="33" t="n"/>
      <c r="H94" s="33" t="n"/>
    </row>
    <row r="96" ht="18" customHeight="1">
      <c r="A96" s="3" t="inlineStr">
        <is>
          <t>Section I — EV -&gt; Equity bridge  (Core)</t>
        </is>
      </c>
    </row>
    <row r="97">
      <c r="A97" s="31" t="inlineStr">
        <is>
          <t>surplus_assets</t>
        </is>
      </c>
      <c r="B97" s="4" t="inlineStr">
        <is>
          <t>Surplus / non-operating assets</t>
        </is>
      </c>
      <c r="C97" s="2" t="inlineStr">
        <is>
          <t>currency</t>
        </is>
      </c>
      <c r="D97" s="32" t="n"/>
      <c r="E97" s="32" t="n"/>
      <c r="F97" s="33" t="n"/>
      <c r="G97" s="33" t="n"/>
      <c r="H97" s="33" t="n"/>
    </row>
    <row r="98">
      <c r="A98" s="31" t="inlineStr">
        <is>
          <t>net_debt_override</t>
        </is>
      </c>
      <c r="B98" s="4" t="inlineStr">
        <is>
          <t>Net debt (override)</t>
        </is>
      </c>
      <c r="C98" s="2" t="inlineStr">
        <is>
          <t>currency</t>
        </is>
      </c>
      <c r="D98" s="32" t="n"/>
      <c r="E98" s="32" t="n"/>
      <c r="F98" s="33" t="n"/>
      <c r="G98" s="33" t="n"/>
      <c r="H98" s="33" t="n"/>
    </row>
    <row r="99">
      <c r="A99" s="31" t="inlineStr">
        <is>
          <t>minority_interests</t>
        </is>
      </c>
      <c r="B99" s="4" t="inlineStr">
        <is>
          <t>Minority interests</t>
        </is>
      </c>
      <c r="C99" s="2" t="inlineStr">
        <is>
          <t>currency</t>
        </is>
      </c>
      <c r="D99" s="32" t="n"/>
      <c r="E99" s="32" t="n"/>
      <c r="F99" s="33" t="n"/>
      <c r="G99" s="33" t="n"/>
      <c r="H99" s="33" t="n"/>
    </row>
    <row r="100">
      <c r="A100" s="31" t="inlineStr">
        <is>
          <t>non_operating_assets</t>
        </is>
      </c>
      <c r="B100" s="4" t="inlineStr">
        <is>
          <t>Non-operating assets</t>
        </is>
      </c>
      <c r="C100" s="2" t="inlineStr">
        <is>
          <t>currency</t>
        </is>
      </c>
      <c r="D100" s="32" t="n"/>
      <c r="E100" s="32" t="n"/>
      <c r="F100" s="33" t="n"/>
      <c r="G100" s="33" t="n"/>
      <c r="H100" s="33" t="n"/>
    </row>
    <row r="101">
      <c r="A101" s="31" t="inlineStr">
        <is>
          <t>dlom_pct</t>
        </is>
      </c>
      <c r="B101" s="4" t="inlineStr">
        <is>
          <t>DLOM rate</t>
        </is>
      </c>
      <c r="C101" s="2" t="inlineStr">
        <is>
          <t>percentage</t>
        </is>
      </c>
      <c r="D101" s="32" t="n"/>
      <c r="E101" s="32" t="n"/>
      <c r="F101" s="33" t="n"/>
      <c r="G101" s="33" t="n"/>
      <c r="H101" s="33" t="n"/>
    </row>
    <row r="102">
      <c r="A102" s="31" t="inlineStr">
        <is>
          <t>dloc_pct</t>
        </is>
      </c>
      <c r="B102" s="4" t="inlineStr">
        <is>
          <t>DLOC rate</t>
        </is>
      </c>
      <c r="C102" s="2" t="inlineStr">
        <is>
          <t>percentage</t>
        </is>
      </c>
      <c r="D102" s="32" t="n"/>
      <c r="E102" s="32" t="n"/>
      <c r="F102" s="33" t="n"/>
      <c r="G102" s="33" t="n"/>
      <c r="H102" s="33" t="n"/>
    </row>
    <row r="103">
      <c r="A103" s="31" t="inlineStr">
        <is>
          <t>equity_interest_pct</t>
        </is>
      </c>
      <c r="B103" s="4" t="inlineStr">
        <is>
          <t>Client's % equity interest</t>
        </is>
      </c>
      <c r="C103" s="2" t="inlineStr">
        <is>
          <t>percentage</t>
        </is>
      </c>
      <c r="D103" s="32" t="n"/>
      <c r="E103" s="32" t="n"/>
      <c r="F103" s="33" t="n"/>
      <c r="G103" s="33" t="n"/>
      <c r="H103" s="33" t="n"/>
    </row>
    <row r="104">
      <c r="A104" s="31" t="inlineStr">
        <is>
          <t>shares_outstanding</t>
        </is>
      </c>
      <c r="B104" s="4" t="inlineStr">
        <is>
          <t>Shares outstanding (basic)</t>
        </is>
      </c>
      <c r="C104" s="2" t="inlineStr">
        <is>
          <t>number</t>
        </is>
      </c>
      <c r="D104" s="32" t="n"/>
      <c r="E104" s="32" t="n"/>
      <c r="F104" s="33" t="n"/>
      <c r="G104" s="33" t="n"/>
      <c r="H104" s="33" t="n"/>
    </row>
    <row r="105">
      <c r="A105" s="31" t="inlineStr">
        <is>
          <t>shares_outstanding_diluted</t>
        </is>
      </c>
      <c r="B105" s="4" t="inlineStr">
        <is>
          <t>Shares outstanding (diluted)</t>
        </is>
      </c>
      <c r="C105" s="2" t="inlineStr">
        <is>
          <t>number</t>
        </is>
      </c>
      <c r="D105" s="32" t="n"/>
      <c r="E105" s="32" t="n"/>
      <c r="F105" s="33" t="n"/>
      <c r="G105" s="33" t="n"/>
      <c r="H105" s="33" t="n"/>
    </row>
    <row r="106">
      <c r="A106" s="31" t="inlineStr">
        <is>
          <t>pre_money_pct</t>
        </is>
      </c>
      <c r="B106" s="4" t="inlineStr">
        <is>
          <t>Pre-money equity %</t>
        </is>
      </c>
      <c r="C106" s="2" t="inlineStr">
        <is>
          <t>percentage</t>
        </is>
      </c>
      <c r="D106" s="32" t="n"/>
      <c r="E106" s="32" t="n"/>
      <c r="F106" s="33" t="n"/>
      <c r="G106" s="33" t="n"/>
      <c r="H106" s="33" t="n"/>
    </row>
    <row r="108" ht="18" customHeight="1">
      <c r="A108" s="37" t="inlineStr">
        <is>
          <t>Section J — Adjustment toggles  (Extended)</t>
        </is>
      </c>
    </row>
    <row r="109">
      <c r="A109" s="31" t="inlineStr">
        <is>
          <t>capitalize_rd</t>
        </is>
      </c>
      <c r="B109" s="4" t="inlineStr">
        <is>
          <t>Capitalize R&amp;D?</t>
        </is>
      </c>
      <c r="C109" s="2" t="inlineStr">
        <is>
          <t>boolean</t>
        </is>
      </c>
      <c r="D109" s="32" t="n"/>
      <c r="E109" s="32" t="n"/>
      <c r="F109" s="33" t="n"/>
      <c r="G109" s="33" t="n"/>
      <c r="H109" s="33" t="n"/>
    </row>
    <row r="110">
      <c r="A110" s="31" t="inlineStr">
        <is>
          <t>rd_amortization_years</t>
        </is>
      </c>
      <c r="B110" s="4" t="inlineStr">
        <is>
          <t>R&amp;D amortization period (years)</t>
        </is>
      </c>
      <c r="C110" s="2" t="inlineStr">
        <is>
          <t>number</t>
        </is>
      </c>
      <c r="D110" s="32" t="n"/>
      <c r="E110" s="32" t="n"/>
      <c r="F110" s="33" t="n"/>
      <c r="G110" s="33" t="n"/>
      <c r="H110" s="33" t="n"/>
    </row>
    <row r="111">
      <c r="A111" s="31" t="inlineStr">
        <is>
          <t>convert_operating_leases</t>
        </is>
      </c>
      <c r="B111" s="4" t="inlineStr">
        <is>
          <t>Convert operating leases to debt?</t>
        </is>
      </c>
      <c r="C111" s="2" t="inlineStr">
        <is>
          <t>boolean</t>
        </is>
      </c>
      <c r="D111" s="32" t="n"/>
      <c r="E111" s="32" t="n"/>
      <c r="F111" s="33" t="n"/>
      <c r="G111" s="33" t="n"/>
      <c r="H111" s="33" t="n"/>
    </row>
    <row r="112">
      <c r="A112" s="31" t="inlineStr">
        <is>
          <t>lease_discount_rate</t>
        </is>
      </c>
      <c r="B112" s="4" t="inlineStr">
        <is>
          <t>Lease discount rate</t>
        </is>
      </c>
      <c r="C112" s="2" t="inlineStr">
        <is>
          <t>percentage</t>
        </is>
      </c>
      <c r="D112" s="32" t="n"/>
      <c r="E112" s="32" t="n"/>
      <c r="F112" s="33" t="n"/>
      <c r="G112" s="33" t="n"/>
      <c r="H112" s="33" t="n"/>
    </row>
    <row r="114" ht="18" customHeight="1">
      <c r="A114" s="37" t="inlineStr">
        <is>
          <t>Section K — Football field weights  (Extended)</t>
        </is>
      </c>
    </row>
    <row r="115">
      <c r="A115" s="31" t="inlineStr">
        <is>
          <t>weight_dcf</t>
        </is>
      </c>
      <c r="B115" s="4" t="inlineStr">
        <is>
          <t>DCF weight</t>
        </is>
      </c>
      <c r="C115" s="2" t="inlineStr">
        <is>
          <t>percentage</t>
        </is>
      </c>
      <c r="D115" s="32" t="n"/>
      <c r="E115" s="32" t="n"/>
      <c r="F115" s="33" t="n"/>
      <c r="G115" s="33" t="n"/>
      <c r="H115" s="33" t="n"/>
    </row>
    <row r="116">
      <c r="A116" s="31" t="inlineStr">
        <is>
          <t>weight_comps</t>
        </is>
      </c>
      <c r="B116" s="4" t="inlineStr">
        <is>
          <t>Comparable companies weight</t>
        </is>
      </c>
      <c r="C116" s="2" t="inlineStr">
        <is>
          <t>percentage</t>
        </is>
      </c>
      <c r="D116" s="32" t="n"/>
      <c r="E116" s="32" t="n"/>
      <c r="F116" s="33" t="n"/>
      <c r="G116" s="33" t="n"/>
      <c r="H116" s="33" t="n"/>
    </row>
    <row r="117">
      <c r="A117" s="31" t="inlineStr">
        <is>
          <t>weight_precedent</t>
        </is>
      </c>
      <c r="B117" s="4" t="inlineStr">
        <is>
          <t>Precedent transactions weight</t>
        </is>
      </c>
      <c r="C117" s="2" t="inlineStr">
        <is>
          <t>percentage</t>
        </is>
      </c>
      <c r="D117" s="32" t="n"/>
      <c r="E117" s="32" t="n"/>
      <c r="F117" s="33" t="n"/>
      <c r="G117" s="33" t="n"/>
      <c r="H117" s="33" t="n"/>
    </row>
    <row r="118">
      <c r="A118" s="31" t="inlineStr">
        <is>
          <t>weight_nav</t>
        </is>
      </c>
      <c r="B118" s="4" t="inlineStr">
        <is>
          <t>NAV / asset-based weight</t>
        </is>
      </c>
      <c r="C118" s="2" t="inlineStr">
        <is>
          <t>percentage</t>
        </is>
      </c>
      <c r="D118" s="32" t="n"/>
      <c r="E118" s="32" t="n"/>
      <c r="F118" s="33" t="n"/>
      <c r="G118" s="33" t="n"/>
      <c r="H118" s="33" t="n"/>
    </row>
    <row r="119">
      <c r="A119" s="31" t="inlineStr">
        <is>
          <t>selected_low</t>
        </is>
      </c>
      <c r="B119" s="4" t="inlineStr">
        <is>
          <t>Selected valuation low</t>
        </is>
      </c>
      <c r="C119" s="2" t="inlineStr">
        <is>
          <t>currency</t>
        </is>
      </c>
      <c r="D119" s="32" t="n"/>
      <c r="E119" s="32" t="n"/>
      <c r="F119" s="33" t="n"/>
      <c r="G119" s="33" t="n"/>
      <c r="H119" s="33" t="n"/>
    </row>
    <row r="120">
      <c r="A120" s="31" t="inlineStr">
        <is>
          <t>selected_mid</t>
        </is>
      </c>
      <c r="B120" s="4" t="inlineStr">
        <is>
          <t>Selected valuation mid</t>
        </is>
      </c>
      <c r="C120" s="2" t="inlineStr">
        <is>
          <t>currency</t>
        </is>
      </c>
      <c r="D120" s="32" t="n"/>
      <c r="E120" s="32" t="n"/>
      <c r="F120" s="33" t="n"/>
      <c r="G120" s="33" t="n"/>
      <c r="H120" s="33" t="n"/>
    </row>
    <row r="121">
      <c r="A121" s="31" t="inlineStr">
        <is>
          <t>selected_high</t>
        </is>
      </c>
      <c r="B121" s="4" t="inlineStr">
        <is>
          <t>Selected valuation high</t>
        </is>
      </c>
      <c r="C121" s="2" t="inlineStr">
        <is>
          <t>currency</t>
        </is>
      </c>
      <c r="D121" s="32" t="n"/>
      <c r="E121" s="32" t="n"/>
      <c r="F121" s="33" t="n"/>
      <c r="G121" s="33" t="n"/>
      <c r="H121" s="33" t="n"/>
    </row>
    <row r="123" ht="18" customHeight="1">
      <c r="A123" s="37" t="inlineStr">
        <is>
          <t>Section L — Sensitivity ranges  (Extended)</t>
        </is>
      </c>
    </row>
    <row r="124">
      <c r="A124" s="31" t="inlineStr">
        <is>
          <t>sens_wacc_step</t>
        </is>
      </c>
      <c r="B124" s="4" t="inlineStr">
        <is>
          <t>WACC sensitivity step</t>
        </is>
      </c>
      <c r="C124" s="2" t="inlineStr">
        <is>
          <t>percentage</t>
        </is>
      </c>
      <c r="D124" s="32" t="n"/>
      <c r="E124" s="32" t="n"/>
      <c r="F124" s="33" t="n"/>
      <c r="G124" s="33" t="n"/>
      <c r="H124" s="33" t="n"/>
    </row>
    <row r="125">
      <c r="A125" s="31" t="inlineStr">
        <is>
          <t>sens_wacc_count</t>
        </is>
      </c>
      <c r="B125" s="4" t="inlineStr">
        <is>
          <t>WACC steps each side of base</t>
        </is>
      </c>
      <c r="C125" s="2" t="inlineStr">
        <is>
          <t>number</t>
        </is>
      </c>
      <c r="D125" s="32" t="n"/>
      <c r="E125" s="32" t="n"/>
      <c r="F125" s="33" t="n"/>
      <c r="G125" s="33" t="n"/>
      <c r="H125" s="33" t="n"/>
    </row>
    <row r="126">
      <c r="A126" s="31" t="inlineStr">
        <is>
          <t>sens_terminal_g_step</t>
        </is>
      </c>
      <c r="B126" s="4" t="inlineStr">
        <is>
          <t>Terminal g sensitivity step</t>
        </is>
      </c>
      <c r="C126" s="2" t="inlineStr">
        <is>
          <t>percentage</t>
        </is>
      </c>
      <c r="D126" s="32" t="n"/>
      <c r="E126" s="32" t="n"/>
      <c r="F126" s="33" t="n"/>
      <c r="G126" s="33" t="n"/>
      <c r="H126" s="33" t="n"/>
    </row>
    <row r="127">
      <c r="A127" s="31" t="inlineStr">
        <is>
          <t>sens_terminal_g_count</t>
        </is>
      </c>
      <c r="B127" s="4" t="inlineStr">
        <is>
          <t>Terminal g steps each side</t>
        </is>
      </c>
      <c r="C127" s="2" t="inlineStr">
        <is>
          <t>number</t>
        </is>
      </c>
      <c r="D127" s="32" t="n"/>
      <c r="E127" s="32" t="n"/>
      <c r="F127" s="33" t="n"/>
      <c r="G127" s="33" t="n"/>
      <c r="H127" s="33" t="n"/>
    </row>
    <row r="128">
      <c r="A128" s="31" t="inlineStr">
        <is>
          <t>sens_revenue_g_step</t>
        </is>
      </c>
      <c r="B128" s="4" t="inlineStr">
        <is>
          <t>Revenue growth sens step</t>
        </is>
      </c>
      <c r="C128" s="2" t="inlineStr">
        <is>
          <t>percentage</t>
        </is>
      </c>
      <c r="D128" s="32" t="n"/>
      <c r="E128" s="32" t="n"/>
      <c r="F128" s="33" t="n"/>
      <c r="G128" s="33" t="n"/>
      <c r="H128" s="33" t="n"/>
    </row>
    <row r="129">
      <c r="A129" s="31" t="inlineStr">
        <is>
          <t>sens_ebitda_margin_step</t>
        </is>
      </c>
      <c r="B129" s="4" t="inlineStr">
        <is>
          <t>EBITDA margin sens step</t>
        </is>
      </c>
      <c r="C129" s="2" t="inlineStr">
        <is>
          <t>percentage</t>
        </is>
      </c>
      <c r="D129" s="32" t="n"/>
      <c r="E129" s="32" t="n"/>
      <c r="F129" s="33" t="n"/>
      <c r="G129" s="33" t="n"/>
      <c r="H129" s="33" t="n"/>
    </row>
    <row r="131">
      <c r="A131" s="3" t="inlineStr">
        <is>
          <t>Section G — Comparable companies table  (Core)</t>
        </is>
      </c>
    </row>
    <row r="132">
      <c r="A132" s="21" t="inlineStr">
        <is>
          <t>Tier</t>
        </is>
      </c>
      <c r="B132" s="21" t="inlineStr">
        <is>
          <t>Include</t>
        </is>
      </c>
      <c r="C132" s="21" t="inlineStr">
        <is>
          <t>Company</t>
        </is>
      </c>
      <c r="D132" s="21" t="inlineStr">
        <is>
          <t>Ticker</t>
        </is>
      </c>
      <c r="E132" s="21" t="inlineStr">
        <is>
          <t>Business description</t>
        </is>
      </c>
      <c r="F132" s="21" t="inlineStr">
        <is>
          <t>Country</t>
        </is>
      </c>
      <c r="G132" s="21" t="inlineStr">
        <is>
          <t>Accounting standard</t>
        </is>
      </c>
      <c r="H132" s="21" t="inlineStr">
        <is>
          <t>Market cap (USD mm)</t>
        </is>
      </c>
      <c r="I132" s="21" t="inlineStr">
        <is>
          <t>D/E ratio</t>
        </is>
      </c>
      <c r="J132" s="21" t="inlineStr">
        <is>
          <t>Raw levered beta</t>
        </is>
      </c>
      <c r="K132" s="21" t="inlineStr">
        <is>
          <t>Effective tax rate</t>
        </is>
      </c>
      <c r="L132" s="21" t="inlineStr">
        <is>
          <t>Unlevered beta (calculated)</t>
        </is>
      </c>
    </row>
    <row r="133">
      <c r="A133" s="33" t="n"/>
      <c r="B133" s="33" t="n"/>
      <c r="C133" s="33" t="n"/>
      <c r="D133" s="33" t="n"/>
      <c r="E133" s="33" t="n"/>
      <c r="F133" s="33" t="n"/>
      <c r="G133" s="33" t="n"/>
      <c r="H133" s="33" t="n"/>
      <c r="I133" s="33" t="n"/>
      <c r="J133" s="33" t="n"/>
      <c r="K133" s="33" t="n"/>
      <c r="L133" s="33" t="n"/>
    </row>
    <row r="134">
      <c r="A134" s="33" t="n"/>
      <c r="B134" s="33" t="n"/>
      <c r="C134" s="33" t="n"/>
      <c r="D134" s="33" t="n"/>
      <c r="E134" s="33" t="n"/>
      <c r="F134" s="33" t="n"/>
      <c r="G134" s="33" t="n"/>
      <c r="H134" s="33" t="n"/>
      <c r="I134" s="33" t="n"/>
      <c r="J134" s="33" t="n"/>
      <c r="K134" s="33" t="n"/>
      <c r="L134" s="33" t="n"/>
    </row>
    <row r="135">
      <c r="A135" s="33" t="n"/>
      <c r="B135" s="33" t="n"/>
      <c r="C135" s="33" t="n"/>
      <c r="D135" s="33" t="n"/>
      <c r="E135" s="33" t="n"/>
      <c r="F135" s="33" t="n"/>
      <c r="G135" s="33" t="n"/>
      <c r="H135" s="33" t="n"/>
      <c r="I135" s="33" t="n"/>
      <c r="J135" s="33" t="n"/>
      <c r="K135" s="33" t="n"/>
      <c r="L135" s="33" t="n"/>
    </row>
    <row r="136">
      <c r="A136" s="33" t="n"/>
      <c r="B136" s="33" t="n"/>
      <c r="C136" s="33" t="n"/>
      <c r="D136" s="33" t="n"/>
      <c r="E136" s="33" t="n"/>
      <c r="F136" s="33" t="n"/>
      <c r="G136" s="33" t="n"/>
      <c r="H136" s="33" t="n"/>
      <c r="I136" s="33" t="n"/>
      <c r="J136" s="33" t="n"/>
      <c r="K136" s="33" t="n"/>
      <c r="L136" s="33" t="n"/>
    </row>
    <row r="137">
      <c r="A137" s="33" t="n"/>
      <c r="B137" s="33" t="n"/>
      <c r="C137" s="33" t="n"/>
      <c r="D137" s="33" t="n"/>
      <c r="E137" s="33" t="n"/>
      <c r="F137" s="33" t="n"/>
      <c r="G137" s="33" t="n"/>
      <c r="H137" s="33" t="n"/>
      <c r="I137" s="33" t="n"/>
      <c r="J137" s="33" t="n"/>
      <c r="K137" s="33" t="n"/>
      <c r="L137" s="33" t="n"/>
    </row>
    <row r="138">
      <c r="A138" s="33" t="n"/>
      <c r="B138" s="33" t="n"/>
      <c r="C138" s="33" t="n"/>
      <c r="D138" s="33" t="n"/>
      <c r="E138" s="33" t="n"/>
      <c r="F138" s="33" t="n"/>
      <c r="G138" s="33" t="n"/>
      <c r="H138" s="33" t="n"/>
      <c r="I138" s="33" t="n"/>
      <c r="J138" s="33" t="n"/>
      <c r="K138" s="33" t="n"/>
      <c r="L138" s="33" t="n"/>
    </row>
    <row r="139">
      <c r="A139" s="33" t="n"/>
      <c r="B139" s="33" t="n"/>
      <c r="C139" s="33" t="n"/>
      <c r="D139" s="33" t="n"/>
      <c r="E139" s="33" t="n"/>
      <c r="F139" s="33" t="n"/>
      <c r="G139" s="33" t="n"/>
      <c r="H139" s="33" t="n"/>
      <c r="I139" s="33" t="n"/>
      <c r="J139" s="33" t="n"/>
      <c r="K139" s="33" t="n"/>
      <c r="L139" s="33" t="n"/>
    </row>
    <row r="140">
      <c r="A140" s="33" t="n"/>
      <c r="B140" s="33" t="n"/>
      <c r="C140" s="33" t="n"/>
      <c r="D140" s="33" t="n"/>
      <c r="E140" s="33" t="n"/>
      <c r="F140" s="33" t="n"/>
      <c r="G140" s="33" t="n"/>
      <c r="H140" s="33" t="n"/>
      <c r="I140" s="33" t="n"/>
      <c r="J140" s="33" t="n"/>
      <c r="K140" s="33" t="n"/>
      <c r="L140" s="33" t="n"/>
    </row>
    <row r="141">
      <c r="A141" s="33" t="n"/>
      <c r="B141" s="33" t="n"/>
      <c r="C141" s="33" t="n"/>
      <c r="D141" s="33" t="n"/>
      <c r="E141" s="33" t="n"/>
      <c r="F141" s="33" t="n"/>
      <c r="G141" s="33" t="n"/>
      <c r="H141" s="33" t="n"/>
      <c r="I141" s="33" t="n"/>
      <c r="J141" s="33" t="n"/>
      <c r="K141" s="33" t="n"/>
      <c r="L141" s="33" t="n"/>
    </row>
    <row r="142">
      <c r="A142" s="33" t="n"/>
      <c r="B142" s="33" t="n"/>
      <c r="C142" s="33" t="n"/>
      <c r="D142" s="33" t="n"/>
      <c r="E142" s="33" t="n"/>
      <c r="F142" s="33" t="n"/>
      <c r="G142" s="33" t="n"/>
      <c r="H142" s="33" t="n"/>
      <c r="I142" s="33" t="n"/>
      <c r="J142" s="33" t="n"/>
      <c r="K142" s="33" t="n"/>
      <c r="L142" s="33" t="n"/>
    </row>
    <row r="143">
      <c r="A143" s="33" t="n"/>
      <c r="B143" s="33" t="n"/>
      <c r="C143" s="33" t="n"/>
      <c r="D143" s="33" t="n"/>
      <c r="E143" s="33" t="n"/>
      <c r="F143" s="33" t="n"/>
      <c r="G143" s="33" t="n"/>
      <c r="H143" s="33" t="n"/>
      <c r="I143" s="33" t="n"/>
      <c r="J143" s="33" t="n"/>
      <c r="K143" s="33" t="n"/>
      <c r="L143" s="33" t="n"/>
    </row>
    <row r="144">
      <c r="A144" s="33" t="n"/>
      <c r="B144" s="33" t="n"/>
      <c r="C144" s="33" t="n"/>
      <c r="D144" s="33" t="n"/>
      <c r="E144" s="33" t="n"/>
      <c r="F144" s="33" t="n"/>
      <c r="G144" s="33" t="n"/>
      <c r="H144" s="33" t="n"/>
      <c r="I144" s="33" t="n"/>
      <c r="J144" s="33" t="n"/>
      <c r="K144" s="33" t="n"/>
      <c r="L144" s="33" t="n"/>
    </row>
    <row r="145">
      <c r="A145" s="33" t="n"/>
      <c r="B145" s="33" t="n"/>
      <c r="C145" s="33" t="n"/>
      <c r="D145" s="33" t="n"/>
      <c r="E145" s="33" t="n"/>
      <c r="F145" s="33" t="n"/>
      <c r="G145" s="33" t="n"/>
      <c r="H145" s="33" t="n"/>
      <c r="I145" s="33" t="n"/>
      <c r="J145" s="33" t="n"/>
      <c r="K145" s="33" t="n"/>
      <c r="L145" s="33" t="n"/>
    </row>
    <row r="146">
      <c r="A146" s="33" t="n"/>
      <c r="B146" s="33" t="n"/>
      <c r="C146" s="33" t="n"/>
      <c r="D146" s="33" t="n"/>
      <c r="E146" s="33" t="n"/>
      <c r="F146" s="33" t="n"/>
      <c r="G146" s="33" t="n"/>
      <c r="H146" s="33" t="n"/>
      <c r="I146" s="33" t="n"/>
      <c r="J146" s="33" t="n"/>
      <c r="K146" s="33" t="n"/>
      <c r="L146" s="33" t="n"/>
    </row>
    <row r="147">
      <c r="A147" s="33" t="n"/>
      <c r="B147" s="33" t="n"/>
      <c r="C147" s="33" t="n"/>
      <c r="D147" s="33" t="n"/>
      <c r="E147" s="33" t="n"/>
      <c r="F147" s="33" t="n"/>
      <c r="G147" s="33" t="n"/>
      <c r="H147" s="33" t="n"/>
      <c r="I147" s="33" t="n"/>
      <c r="J147" s="33" t="n"/>
      <c r="K147" s="33" t="n"/>
      <c r="L147" s="33" t="n"/>
    </row>
    <row r="148">
      <c r="A148" s="33" t="n"/>
      <c r="B148" s="33" t="n"/>
      <c r="C148" s="33" t="n"/>
      <c r="D148" s="33" t="n"/>
      <c r="E148" s="33" t="n"/>
      <c r="F148" s="33" t="n"/>
      <c r="G148" s="33" t="n"/>
      <c r="H148" s="33" t="n"/>
      <c r="I148" s="33" t="n"/>
      <c r="J148" s="33" t="n"/>
      <c r="K148" s="33" t="n"/>
      <c r="L148" s="33" t="n"/>
    </row>
    <row r="149">
      <c r="A149" s="33" t="n"/>
      <c r="B149" s="33" t="n"/>
      <c r="C149" s="33" t="n"/>
      <c r="D149" s="33" t="n"/>
      <c r="E149" s="33" t="n"/>
      <c r="F149" s="33" t="n"/>
      <c r="G149" s="33" t="n"/>
      <c r="H149" s="33" t="n"/>
      <c r="I149" s="33" t="n"/>
      <c r="J149" s="33" t="n"/>
      <c r="K149" s="33" t="n"/>
      <c r="L149" s="33" t="n"/>
    </row>
    <row r="150">
      <c r="A150" s="33" t="n"/>
      <c r="B150" s="33" t="n"/>
      <c r="C150" s="33" t="n"/>
      <c r="D150" s="33" t="n"/>
      <c r="E150" s="33" t="n"/>
      <c r="F150" s="33" t="n"/>
      <c r="G150" s="33" t="n"/>
      <c r="H150" s="33" t="n"/>
      <c r="I150" s="33" t="n"/>
      <c r="J150" s="33" t="n"/>
      <c r="K150" s="33" t="n"/>
      <c r="L150" s="33" t="n"/>
    </row>
    <row r="151">
      <c r="A151" s="33" t="n"/>
      <c r="B151" s="33" t="n"/>
      <c r="C151" s="33" t="n"/>
      <c r="D151" s="33" t="n"/>
      <c r="E151" s="33" t="n"/>
      <c r="F151" s="33" t="n"/>
      <c r="G151" s="33" t="n"/>
      <c r="H151" s="33" t="n"/>
      <c r="I151" s="33" t="n"/>
      <c r="J151" s="33" t="n"/>
      <c r="K151" s="33" t="n"/>
      <c r="L151" s="33" t="n"/>
    </row>
    <row r="152">
      <c r="A152" s="33" t="n"/>
      <c r="B152" s="33" t="n"/>
      <c r="C152" s="33" t="n"/>
      <c r="D152" s="33" t="n"/>
      <c r="E152" s="33" t="n"/>
      <c r="F152" s="33" t="n"/>
      <c r="G152" s="33" t="n"/>
      <c r="H152" s="33" t="n"/>
      <c r="I152" s="33" t="n"/>
      <c r="J152" s="33" t="n"/>
      <c r="K152" s="33" t="n"/>
      <c r="L152" s="33" t="n"/>
    </row>
    <row r="153">
      <c r="A153" s="33" t="n"/>
      <c r="B153" s="33" t="n"/>
      <c r="C153" s="33" t="n"/>
      <c r="D153" s="33" t="n"/>
      <c r="E153" s="33" t="n"/>
      <c r="F153" s="33" t="n"/>
      <c r="G153" s="33" t="n"/>
      <c r="H153" s="33" t="n"/>
      <c r="I153" s="33" t="n"/>
      <c r="J153" s="33" t="n"/>
      <c r="K153" s="33" t="n"/>
      <c r="L153" s="33" t="n"/>
    </row>
    <row r="154">
      <c r="A154" s="33" t="n"/>
      <c r="B154" s="33" t="n"/>
      <c r="C154" s="33" t="n"/>
      <c r="D154" s="33" t="n"/>
      <c r="E154" s="33" t="n"/>
      <c r="F154" s="33" t="n"/>
      <c r="G154" s="33" t="n"/>
      <c r="H154" s="33" t="n"/>
      <c r="I154" s="33" t="n"/>
      <c r="J154" s="33" t="n"/>
      <c r="K154" s="33" t="n"/>
      <c r="L154" s="33" t="n"/>
    </row>
    <row r="155">
      <c r="A155" s="33" t="n"/>
      <c r="B155" s="33" t="n"/>
      <c r="C155" s="33" t="n"/>
      <c r="D155" s="33" t="n"/>
      <c r="E155" s="33" t="n"/>
      <c r="F155" s="33" t="n"/>
      <c r="G155" s="33" t="n"/>
      <c r="H155" s="33" t="n"/>
      <c r="I155" s="33" t="n"/>
      <c r="J155" s="33" t="n"/>
      <c r="K155" s="33" t="n"/>
      <c r="L155" s="33" t="n"/>
    </row>
    <row r="156">
      <c r="A156" s="33" t="n"/>
      <c r="B156" s="33" t="n"/>
      <c r="C156" s="33" t="n"/>
      <c r="D156" s="33" t="n"/>
      <c r="E156" s="33" t="n"/>
      <c r="F156" s="33" t="n"/>
      <c r="G156" s="33" t="n"/>
      <c r="H156" s="33" t="n"/>
      <c r="I156" s="33" t="n"/>
      <c r="J156" s="33" t="n"/>
      <c r="K156" s="33" t="n"/>
      <c r="L156" s="33" t="n"/>
    </row>
    <row r="157">
      <c r="A157" s="33" t="n"/>
      <c r="B157" s="33" t="n"/>
      <c r="C157" s="33" t="n"/>
      <c r="D157" s="33" t="n"/>
      <c r="E157" s="33" t="n"/>
      <c r="F157" s="33" t="n"/>
      <c r="G157" s="33" t="n"/>
      <c r="H157" s="33" t="n"/>
      <c r="I157" s="33" t="n"/>
      <c r="J157" s="33" t="n"/>
      <c r="K157" s="33" t="n"/>
      <c r="L157" s="33" t="n"/>
    </row>
    <row r="158">
      <c r="A158" s="33" t="n"/>
      <c r="B158" s="33" t="n"/>
      <c r="C158" s="33" t="n"/>
      <c r="D158" s="33" t="n"/>
      <c r="E158" s="33" t="n"/>
      <c r="F158" s="33" t="n"/>
      <c r="G158" s="33" t="n"/>
      <c r="H158" s="33" t="n"/>
      <c r="I158" s="33" t="n"/>
      <c r="J158" s="33" t="n"/>
      <c r="K158" s="33" t="n"/>
      <c r="L158" s="33" t="n"/>
    </row>
    <row r="159">
      <c r="A159" s="33" t="n"/>
      <c r="B159" s="33" t="n"/>
      <c r="C159" s="33" t="n"/>
      <c r="D159" s="33" t="n"/>
      <c r="E159" s="33" t="n"/>
      <c r="F159" s="33" t="n"/>
      <c r="G159" s="33" t="n"/>
      <c r="H159" s="33" t="n"/>
      <c r="I159" s="33" t="n"/>
      <c r="J159" s="33" t="n"/>
      <c r="K159" s="33" t="n"/>
      <c r="L159" s="33" t="n"/>
    </row>
    <row r="160">
      <c r="A160" s="33" t="n"/>
      <c r="B160" s="33" t="n"/>
      <c r="C160" s="33" t="n"/>
      <c r="D160" s="33" t="n"/>
      <c r="E160" s="33" t="n"/>
      <c r="F160" s="33" t="n"/>
      <c r="G160" s="33" t="n"/>
      <c r="H160" s="33" t="n"/>
      <c r="I160" s="33" t="n"/>
      <c r="J160" s="33" t="n"/>
      <c r="K160" s="33" t="n"/>
      <c r="L160" s="33" t="n"/>
    </row>
    <row r="161">
      <c r="A161" s="33" t="n"/>
      <c r="B161" s="33" t="n"/>
      <c r="C161" s="33" t="n"/>
      <c r="D161" s="33" t="n"/>
      <c r="E161" s="33" t="n"/>
      <c r="F161" s="33" t="n"/>
      <c r="G161" s="33" t="n"/>
      <c r="H161" s="33" t="n"/>
      <c r="I161" s="33" t="n"/>
      <c r="J161" s="33" t="n"/>
      <c r="K161" s="33" t="n"/>
      <c r="L161" s="33" t="n"/>
    </row>
    <row r="162">
      <c r="A162" s="33" t="n"/>
      <c r="B162" s="33" t="n"/>
      <c r="C162" s="33" t="n"/>
      <c r="D162" s="33" t="n"/>
      <c r="E162" s="33" t="n"/>
      <c r="F162" s="33" t="n"/>
      <c r="G162" s="33" t="n"/>
      <c r="H162" s="33" t="n"/>
      <c r="I162" s="33" t="n"/>
      <c r="J162" s="33" t="n"/>
      <c r="K162" s="33" t="n"/>
      <c r="L162" s="33" t="n"/>
    </row>
    <row r="164">
      <c r="A164" s="37" t="inlineStr">
        <is>
          <t>Section H — Precedent transactions  (Extended)</t>
        </is>
      </c>
    </row>
    <row r="165">
      <c r="A165" s="21" t="inlineStr">
        <is>
          <t>Include</t>
        </is>
      </c>
      <c r="B165" s="21" t="inlineStr">
        <is>
          <t>Date</t>
        </is>
      </c>
      <c r="C165" s="21" t="inlineStr">
        <is>
          <t>Acquirer</t>
        </is>
      </c>
      <c r="D165" s="21" t="inlineStr">
        <is>
          <t>Target</t>
        </is>
      </c>
      <c r="E165" s="21" t="inlineStr">
        <is>
          <t>EV (USD mm)</t>
        </is>
      </c>
      <c r="F165" s="21" t="inlineStr">
        <is>
          <t>EV/Revenue</t>
        </is>
      </c>
      <c r="G165" s="21" t="inlineStr">
        <is>
          <t>EV/EBITDA</t>
        </is>
      </c>
      <c r="H165" s="21" t="inlineStr">
        <is>
          <t>Premium paid</t>
        </is>
      </c>
      <c r="I165" s="21" t="inlineStr">
        <is>
          <t>Strategic rationale</t>
        </is>
      </c>
    </row>
    <row r="166">
      <c r="A166" s="33" t="n"/>
      <c r="B166" s="33" t="n"/>
      <c r="C166" s="33" t="n"/>
      <c r="D166" s="33" t="n"/>
      <c r="E166" s="33" t="n"/>
      <c r="F166" s="33" t="n"/>
      <c r="G166" s="33" t="n"/>
      <c r="H166" s="33" t="n"/>
      <c r="I166" s="33" t="n"/>
    </row>
    <row r="167">
      <c r="A167" s="33" t="n"/>
      <c r="B167" s="33" t="n"/>
      <c r="C167" s="33" t="n"/>
      <c r="D167" s="33" t="n"/>
      <c r="E167" s="33" t="n"/>
      <c r="F167" s="33" t="n"/>
      <c r="G167" s="33" t="n"/>
      <c r="H167" s="33" t="n"/>
      <c r="I167" s="33" t="n"/>
    </row>
    <row r="168">
      <c r="A168" s="33" t="n"/>
      <c r="B168" s="33" t="n"/>
      <c r="C168" s="33" t="n"/>
      <c r="D168" s="33" t="n"/>
      <c r="E168" s="33" t="n"/>
      <c r="F168" s="33" t="n"/>
      <c r="G168" s="33" t="n"/>
      <c r="H168" s="33" t="n"/>
      <c r="I168" s="33" t="n"/>
    </row>
    <row r="169">
      <c r="A169" s="33" t="n"/>
      <c r="B169" s="33" t="n"/>
      <c r="C169" s="33" t="n"/>
      <c r="D169" s="33" t="n"/>
      <c r="E169" s="33" t="n"/>
      <c r="F169" s="33" t="n"/>
      <c r="G169" s="33" t="n"/>
      <c r="H169" s="33" t="n"/>
      <c r="I169" s="33" t="n"/>
    </row>
    <row r="170">
      <c r="A170" s="33" t="n"/>
      <c r="B170" s="33" t="n"/>
      <c r="C170" s="33" t="n"/>
      <c r="D170" s="33" t="n"/>
      <c r="E170" s="33" t="n"/>
      <c r="F170" s="33" t="n"/>
      <c r="G170" s="33" t="n"/>
      <c r="H170" s="33" t="n"/>
      <c r="I170" s="33" t="n"/>
    </row>
    <row r="171">
      <c r="A171" s="33" t="n"/>
      <c r="B171" s="33" t="n"/>
      <c r="C171" s="33" t="n"/>
      <c r="D171" s="33" t="n"/>
      <c r="E171" s="33" t="n"/>
      <c r="F171" s="33" t="n"/>
      <c r="G171" s="33" t="n"/>
      <c r="H171" s="33" t="n"/>
      <c r="I171" s="33" t="n"/>
    </row>
    <row r="172">
      <c r="A172" s="33" t="n"/>
      <c r="B172" s="33" t="n"/>
      <c r="C172" s="33" t="n"/>
      <c r="D172" s="33" t="n"/>
      <c r="E172" s="33" t="n"/>
      <c r="F172" s="33" t="n"/>
      <c r="G172" s="33" t="n"/>
      <c r="H172" s="33" t="n"/>
      <c r="I172" s="33" t="n"/>
    </row>
    <row r="173">
      <c r="A173" s="33" t="n"/>
      <c r="B173" s="33" t="n"/>
      <c r="C173" s="33" t="n"/>
      <c r="D173" s="33" t="n"/>
      <c r="E173" s="33" t="n"/>
      <c r="F173" s="33" t="n"/>
      <c r="G173" s="33" t="n"/>
      <c r="H173" s="33" t="n"/>
      <c r="I173" s="33" t="n"/>
    </row>
    <row r="174">
      <c r="A174" s="33" t="n"/>
      <c r="B174" s="33" t="n"/>
      <c r="C174" s="33" t="n"/>
      <c r="D174" s="33" t="n"/>
      <c r="E174" s="33" t="n"/>
      <c r="F174" s="33" t="n"/>
      <c r="G174" s="33" t="n"/>
      <c r="H174" s="33" t="n"/>
      <c r="I174" s="33" t="n"/>
    </row>
    <row r="175">
      <c r="A175" s="33" t="n"/>
      <c r="B175" s="33" t="n"/>
      <c r="C175" s="33" t="n"/>
      <c r="D175" s="33" t="n"/>
      <c r="E175" s="33" t="n"/>
      <c r="F175" s="33" t="n"/>
      <c r="G175" s="33" t="n"/>
      <c r="H175" s="33" t="n"/>
      <c r="I175" s="33" t="n"/>
    </row>
    <row r="176">
      <c r="A176" s="33" t="n"/>
      <c r="B176" s="33" t="n"/>
      <c r="C176" s="33" t="n"/>
      <c r="D176" s="33" t="n"/>
      <c r="E176" s="33" t="n"/>
      <c r="F176" s="33" t="n"/>
      <c r="G176" s="33" t="n"/>
      <c r="H176" s="33" t="n"/>
      <c r="I176" s="33" t="n"/>
    </row>
    <row r="177">
      <c r="A177" s="33" t="n"/>
      <c r="B177" s="33" t="n"/>
      <c r="C177" s="33" t="n"/>
      <c r="D177" s="33" t="n"/>
      <c r="E177" s="33" t="n"/>
      <c r="F177" s="33" t="n"/>
      <c r="G177" s="33" t="n"/>
      <c r="H177" s="33" t="n"/>
      <c r="I177" s="33" t="n"/>
    </row>
    <row r="178">
      <c r="A178" s="33" t="n"/>
      <c r="B178" s="33" t="n"/>
      <c r="C178" s="33" t="n"/>
      <c r="D178" s="33" t="n"/>
      <c r="E178" s="33" t="n"/>
      <c r="F178" s="33" t="n"/>
      <c r="G178" s="33" t="n"/>
      <c r="H178" s="33" t="n"/>
      <c r="I178" s="33" t="n"/>
    </row>
    <row r="179">
      <c r="A179" s="33" t="n"/>
      <c r="B179" s="33" t="n"/>
      <c r="C179" s="33" t="n"/>
      <c r="D179" s="33" t="n"/>
      <c r="E179" s="33" t="n"/>
      <c r="F179" s="33" t="n"/>
      <c r="G179" s="33" t="n"/>
      <c r="H179" s="33" t="n"/>
      <c r="I179" s="33" t="n"/>
    </row>
    <row r="180">
      <c r="A180" s="33" t="n"/>
      <c r="B180" s="33" t="n"/>
      <c r="C180" s="33" t="n"/>
      <c r="D180" s="33" t="n"/>
      <c r="E180" s="33" t="n"/>
      <c r="F180" s="33" t="n"/>
      <c r="G180" s="33" t="n"/>
      <c r="H180" s="33" t="n"/>
      <c r="I180" s="33" t="n"/>
    </row>
    <row r="182">
      <c r="A182" s="37" t="inlineStr">
        <is>
          <t>Section I — Revenue segments  (Optional)</t>
        </is>
      </c>
    </row>
    <row r="183">
      <c r="A183" s="2" t="inlineStr">
        <is>
          <t>Optional segmented breakdown. Fill rows below + re-upload to override top-level revenue_growth / gross_margin with a segment aggregate. start_year=0 means the segment already exists in Y0; start_year&gt;0 introduces a new revenue line at that projection year.</t>
        </is>
      </c>
    </row>
    <row r="184">
      <c r="A184" s="21" t="inlineStr">
        <is>
          <t>Segment name</t>
        </is>
      </c>
      <c r="B184" s="21" t="inlineStr">
        <is>
          <t>Start year</t>
        </is>
      </c>
      <c r="C184" s="21" t="inlineStr">
        <is>
          <t>Initial revenue</t>
        </is>
      </c>
      <c r="D184" s="21" t="inlineStr">
        <is>
          <t>Growth Y1</t>
        </is>
      </c>
      <c r="E184" s="21" t="inlineStr">
        <is>
          <t>Growth Y2</t>
        </is>
      </c>
      <c r="F184" s="21" t="inlineStr">
        <is>
          <t>Growth Y3</t>
        </is>
      </c>
      <c r="G184" s="21" t="inlineStr">
        <is>
          <t>Growth Y4</t>
        </is>
      </c>
      <c r="H184" s="21" t="inlineStr">
        <is>
          <t>Growth Y5</t>
        </is>
      </c>
      <c r="I184" s="21" t="inlineStr">
        <is>
          <t>GM Y1</t>
        </is>
      </c>
      <c r="J184" s="21" t="inlineStr">
        <is>
          <t>GM Y2</t>
        </is>
      </c>
      <c r="K184" s="21" t="inlineStr">
        <is>
          <t>GM Y3</t>
        </is>
      </c>
      <c r="L184" s="21" t="inlineStr">
        <is>
          <t>GM Y4</t>
        </is>
      </c>
      <c r="M184" s="21" t="inlineStr">
        <is>
          <t>GM Y5</t>
        </is>
      </c>
    </row>
    <row r="185">
      <c r="A185" s="33" t="n"/>
      <c r="B185" s="33" t="n"/>
      <c r="C185" s="33" t="n"/>
      <c r="D185" s="33" t="n"/>
      <c r="E185" s="33" t="n"/>
      <c r="F185" s="33" t="n"/>
      <c r="G185" s="33" t="n"/>
      <c r="H185" s="33" t="n"/>
      <c r="I185" s="33" t="n"/>
      <c r="J185" s="33" t="n"/>
      <c r="K185" s="33" t="n"/>
      <c r="L185" s="33" t="n"/>
      <c r="M185" s="33" t="n"/>
    </row>
    <row r="186">
      <c r="A186" s="33" t="n"/>
      <c r="B186" s="33" t="n"/>
      <c r="C186" s="33" t="n"/>
      <c r="D186" s="33" t="n"/>
      <c r="E186" s="33" t="n"/>
      <c r="F186" s="33" t="n"/>
      <c r="G186" s="33" t="n"/>
      <c r="H186" s="33" t="n"/>
      <c r="I186" s="33" t="n"/>
      <c r="J186" s="33" t="n"/>
      <c r="K186" s="33" t="n"/>
      <c r="L186" s="33" t="n"/>
      <c r="M186" s="33" t="n"/>
    </row>
    <row r="187">
      <c r="A187" s="33" t="n"/>
      <c r="B187" s="33" t="n"/>
      <c r="C187" s="33" t="n"/>
      <c r="D187" s="33" t="n"/>
      <c r="E187" s="33" t="n"/>
      <c r="F187" s="33" t="n"/>
      <c r="G187" s="33" t="n"/>
      <c r="H187" s="33" t="n"/>
      <c r="I187" s="33" t="n"/>
      <c r="J187" s="33" t="n"/>
      <c r="K187" s="33" t="n"/>
      <c r="L187" s="33" t="n"/>
      <c r="M187" s="33" t="n"/>
    </row>
    <row r="188">
      <c r="A188" s="33" t="n"/>
      <c r="B188" s="33" t="n"/>
      <c r="C188" s="33" t="n"/>
      <c r="D188" s="33" t="n"/>
      <c r="E188" s="33" t="n"/>
      <c r="F188" s="33" t="n"/>
      <c r="G188" s="33" t="n"/>
      <c r="H188" s="33" t="n"/>
      <c r="I188" s="33" t="n"/>
      <c r="J188" s="33" t="n"/>
      <c r="K188" s="33" t="n"/>
      <c r="L188" s="33" t="n"/>
      <c r="M188" s="33" t="n"/>
    </row>
    <row r="189">
      <c r="A189" s="33" t="n"/>
      <c r="B189" s="33" t="n"/>
      <c r="C189" s="33" t="n"/>
      <c r="D189" s="33" t="n"/>
      <c r="E189" s="33" t="n"/>
      <c r="F189" s="33" t="n"/>
      <c r="G189" s="33" t="n"/>
      <c r="H189" s="33" t="n"/>
      <c r="I189" s="33" t="n"/>
      <c r="J189" s="33" t="n"/>
      <c r="K189" s="33" t="n"/>
      <c r="L189" s="33" t="n"/>
      <c r="M189" s="33" t="n"/>
    </row>
  </sheetData>
  <mergeCells count="16">
    <mergeCell ref="A131:H131"/>
    <mergeCell ref="A114:H114"/>
    <mergeCell ref="A25:H25"/>
    <mergeCell ref="A73:H73"/>
    <mergeCell ref="A2:H2"/>
    <mergeCell ref="A96:H96"/>
    <mergeCell ref="A164:H164"/>
    <mergeCell ref="A19:H19"/>
    <mergeCell ref="A33:H33"/>
    <mergeCell ref="A108:H108"/>
    <mergeCell ref="A123:H123"/>
    <mergeCell ref="A1:H1"/>
    <mergeCell ref="A79:H79"/>
    <mergeCell ref="A182:M182"/>
    <mergeCell ref="A6:H6"/>
    <mergeCell ref="A183:M183"/>
  </mergeCells>
  <dataValidations count="2">
    <dataValidation sqref="F7 F8 F9 F10 F11 F12 F13 F14 F15 F16 F17 F20 F21 F22 F23 F26 F27 F28 F29 F30 F31 F34 F35 F36 F37 F38 F39 F40 F41 F42 F43 F44 F45 F46 F47 F48 F49 F50 F51 F52 F53 F54 F55 F56 F57 F58 F59 F60 F61 F62 F63 F64 F65 F66 F67 F68 F69 F70 F71 F74 F75 F76 F77 F80 F81 F82 F83 F84 F85 F86 F87 F88 F89 F90 F91 F92 F93 F94 F97 F98 F99 F100 F101 F102 F103 F104 F105 F106 F109 F110 F111 F112 F115 F116 F117 F118 F119 F120 F121 F124 F125 F126 F127 F128 F129" showDropDown="0" showInputMessage="0" showErrorMessage="0" allowBlank="1" type="list">
      <formula1>"Audited FS,Management Projections,Capital IQ,Bloomberg,Damodaran,Kroll,Mercer,Prospectus,Engagement Letter,Calculated,Manual"</formula1>
    </dataValidation>
    <dataValidation sqref="D109 D111" showDropDown="0" showInputMessage="0" showErrorMessage="0" allowBlank="1" type="list">
      <formula1>"true,false"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cols>
    <col width="32" customWidth="1" min="1" max="1"/>
    <col width="12" customWidth="1" min="2" max="2"/>
    <col width="14" customWidth="1" min="3" max="3"/>
    <col width="14" customWidth="1" min="4" max="4"/>
    <col width="14" customWidth="1" min="5" max="5"/>
    <col width="14" customWidth="1" min="6" max="6"/>
    <col width="14" customWidth="1" min="7" max="7"/>
  </cols>
  <sheetData>
    <row r="1" ht="22" customHeight="1">
      <c r="A1" s="1" t="inlineStr">
        <is>
          <t>Historical Financial Statements</t>
        </is>
      </c>
    </row>
    <row r="2">
      <c r="A2" s="2" t="inlineStr">
        <is>
          <t>3-5 years audited income statement + balance sheet. Manual entry from client PBC. Y0 base values for the Projections sheet (revenue, NWC) should be populated from this sheet.</t>
        </is>
      </c>
    </row>
    <row r="4">
      <c r="A4" s="7" t="inlineStr">
        <is>
          <t>Line item</t>
        </is>
      </c>
      <c r="B4" s="7" t="inlineStr">
        <is>
          <t>Unit</t>
        </is>
      </c>
      <c r="C4" s="7" t="inlineStr">
        <is>
          <t>FY-5</t>
        </is>
      </c>
      <c r="D4" s="7" t="inlineStr">
        <is>
          <t>FY-4</t>
        </is>
      </c>
      <c r="E4" s="7" t="inlineStr">
        <is>
          <t>FY-3</t>
        </is>
      </c>
      <c r="F4" s="7" t="inlineStr">
        <is>
          <t>FY-2</t>
        </is>
      </c>
      <c r="G4" s="7" t="inlineStr">
        <is>
          <t>FY-1</t>
        </is>
      </c>
    </row>
    <row r="6">
      <c r="A6" s="3" t="inlineStr">
        <is>
          <t>Income Statement</t>
        </is>
      </c>
    </row>
    <row r="7">
      <c r="A7" s="4" t="inlineStr">
        <is>
          <t>Revenue</t>
        </is>
      </c>
      <c r="B7" s="2" t="inlineStr">
        <is>
          <t>(currency × unit)</t>
        </is>
      </c>
      <c r="C7" s="38" t="n"/>
      <c r="D7" s="38" t="n"/>
      <c r="E7" s="38" t="n"/>
      <c r="F7" s="38" t="n"/>
      <c r="G7" s="38" t="n"/>
    </row>
    <row r="8">
      <c r="A8" s="4" t="inlineStr">
        <is>
          <t>Cost of revenue</t>
        </is>
      </c>
      <c r="B8" s="2" t="inlineStr">
        <is>
          <t>(currency × unit)</t>
        </is>
      </c>
      <c r="C8" s="38" t="n"/>
      <c r="D8" s="38" t="n"/>
      <c r="E8" s="38" t="n"/>
      <c r="F8" s="38" t="n"/>
      <c r="G8" s="38" t="n"/>
    </row>
    <row r="9">
      <c r="A9" s="4" t="inlineStr">
        <is>
          <t>Gross profit</t>
        </is>
      </c>
      <c r="B9" s="2" t="inlineStr">
        <is>
          <t>(currency × unit)</t>
        </is>
      </c>
      <c r="C9" s="38" t="n"/>
      <c r="D9" s="38" t="n"/>
      <c r="E9" s="38" t="n"/>
      <c r="F9" s="38" t="n"/>
      <c r="G9" s="38" t="n"/>
    </row>
    <row r="10">
      <c r="A10" s="4" t="inlineStr">
        <is>
          <t>Operating expenses</t>
        </is>
      </c>
      <c r="B10" s="2" t="inlineStr">
        <is>
          <t>(currency × unit)</t>
        </is>
      </c>
      <c r="C10" s="38" t="n"/>
      <c r="D10" s="38" t="n"/>
      <c r="E10" s="38" t="n"/>
      <c r="F10" s="38" t="n"/>
      <c r="G10" s="38" t="n"/>
    </row>
    <row r="11">
      <c r="A11" s="4" t="inlineStr">
        <is>
          <t xml:space="preserve">  Selling, general &amp; admin</t>
        </is>
      </c>
      <c r="B11" s="2" t="inlineStr">
        <is>
          <t>(currency × unit)</t>
        </is>
      </c>
      <c r="C11" s="38" t="n"/>
      <c r="D11" s="38" t="n"/>
      <c r="E11" s="38" t="n"/>
      <c r="F11" s="38" t="n"/>
      <c r="G11" s="38" t="n"/>
    </row>
    <row r="12">
      <c r="A12" s="4" t="inlineStr">
        <is>
          <t xml:space="preserve">  Research &amp; development</t>
        </is>
      </c>
      <c r="B12" s="2" t="inlineStr">
        <is>
          <t>(currency × unit)</t>
        </is>
      </c>
      <c r="C12" s="38" t="n"/>
      <c r="D12" s="38" t="n"/>
      <c r="E12" s="38" t="n"/>
      <c r="F12" s="38" t="n"/>
      <c r="G12" s="38" t="n"/>
    </row>
    <row r="13">
      <c r="A13" s="4" t="inlineStr">
        <is>
          <t>EBITDA</t>
        </is>
      </c>
      <c r="B13" s="2" t="inlineStr">
        <is>
          <t>(currency × unit)</t>
        </is>
      </c>
      <c r="C13" s="38" t="n"/>
      <c r="D13" s="38" t="n"/>
      <c r="E13" s="38" t="n"/>
      <c r="F13" s="38" t="n"/>
      <c r="G13" s="38" t="n"/>
    </row>
    <row r="14">
      <c r="A14" s="4" t="inlineStr">
        <is>
          <t>Depreciation &amp; amortization</t>
        </is>
      </c>
      <c r="B14" s="2" t="inlineStr">
        <is>
          <t>(currency × unit)</t>
        </is>
      </c>
      <c r="C14" s="38" t="n"/>
      <c r="D14" s="38" t="n"/>
      <c r="E14" s="38" t="n"/>
      <c r="F14" s="38" t="n"/>
      <c r="G14" s="38" t="n"/>
    </row>
    <row r="15">
      <c r="A15" s="4" t="inlineStr">
        <is>
          <t>EBIT (Operating income)</t>
        </is>
      </c>
      <c r="B15" s="2" t="inlineStr">
        <is>
          <t>(currency × unit)</t>
        </is>
      </c>
      <c r="C15" s="38" t="n"/>
      <c r="D15" s="38" t="n"/>
      <c r="E15" s="38" t="n"/>
      <c r="F15" s="38" t="n"/>
      <c r="G15" s="38" t="n"/>
    </row>
    <row r="16">
      <c r="A16" s="4" t="inlineStr">
        <is>
          <t>Interest expense</t>
        </is>
      </c>
      <c r="B16" s="2" t="inlineStr">
        <is>
          <t>(currency × unit)</t>
        </is>
      </c>
      <c r="C16" s="38" t="n"/>
      <c r="D16" s="38" t="n"/>
      <c r="E16" s="38" t="n"/>
      <c r="F16" s="38" t="n"/>
      <c r="G16" s="38" t="n"/>
    </row>
    <row r="17">
      <c r="A17" s="4" t="inlineStr">
        <is>
          <t>Other income / (expense)</t>
        </is>
      </c>
      <c r="B17" s="2" t="inlineStr">
        <is>
          <t>(currency × unit)</t>
        </is>
      </c>
      <c r="C17" s="38" t="n"/>
      <c r="D17" s="38" t="n"/>
      <c r="E17" s="38" t="n"/>
      <c r="F17" s="38" t="n"/>
      <c r="G17" s="38" t="n"/>
    </row>
    <row r="18">
      <c r="A18" s="4" t="inlineStr">
        <is>
          <t>Profit before tax</t>
        </is>
      </c>
      <c r="B18" s="2" t="inlineStr">
        <is>
          <t>(currency × unit)</t>
        </is>
      </c>
      <c r="C18" s="38" t="n"/>
      <c r="D18" s="38" t="n"/>
      <c r="E18" s="38" t="n"/>
      <c r="F18" s="38" t="n"/>
      <c r="G18" s="38" t="n"/>
    </row>
    <row r="19">
      <c r="A19" s="4" t="inlineStr">
        <is>
          <t>Tax expense</t>
        </is>
      </c>
      <c r="B19" s="2" t="inlineStr">
        <is>
          <t>(currency × unit)</t>
        </is>
      </c>
      <c r="C19" s="38" t="n"/>
      <c r="D19" s="38" t="n"/>
      <c r="E19" s="38" t="n"/>
      <c r="F19" s="38" t="n"/>
      <c r="G19" s="38" t="n"/>
    </row>
    <row r="20">
      <c r="A20" s="4" t="inlineStr">
        <is>
          <t>Net income</t>
        </is>
      </c>
      <c r="B20" s="2" t="inlineStr">
        <is>
          <t>(currency × unit)</t>
        </is>
      </c>
      <c r="C20" s="38" t="n"/>
      <c r="D20" s="38" t="n"/>
      <c r="E20" s="38" t="n"/>
      <c r="F20" s="38" t="n"/>
      <c r="G20" s="38" t="n"/>
    </row>
    <row r="22">
      <c r="A22" s="3" t="inlineStr">
        <is>
          <t>Balance Sheet</t>
        </is>
      </c>
    </row>
    <row r="23">
      <c r="A23" s="4" t="inlineStr">
        <is>
          <t>Current assets</t>
        </is>
      </c>
      <c r="B23" s="2" t="inlineStr">
        <is>
          <t>(currency × unit)</t>
        </is>
      </c>
      <c r="C23" s="38" t="n"/>
      <c r="D23" s="38" t="n"/>
      <c r="E23" s="38" t="n"/>
      <c r="F23" s="38" t="n"/>
      <c r="G23" s="38" t="n"/>
    </row>
    <row r="24">
      <c r="A24" s="4" t="inlineStr">
        <is>
          <t xml:space="preserve">  Cash and equivalents</t>
        </is>
      </c>
      <c r="B24" s="2" t="inlineStr">
        <is>
          <t>(currency × unit)</t>
        </is>
      </c>
      <c r="C24" s="38" t="n"/>
      <c r="D24" s="38" t="n"/>
      <c r="E24" s="38" t="n"/>
      <c r="F24" s="38" t="n"/>
      <c r="G24" s="38" t="n"/>
    </row>
    <row r="25">
      <c r="A25" s="4" t="inlineStr">
        <is>
          <t xml:space="preserve">  Accounts receivable</t>
        </is>
      </c>
      <c r="B25" s="2" t="inlineStr">
        <is>
          <t>(currency × unit)</t>
        </is>
      </c>
      <c r="C25" s="38" t="n"/>
      <c r="D25" s="38" t="n"/>
      <c r="E25" s="38" t="n"/>
      <c r="F25" s="38" t="n"/>
      <c r="G25" s="38" t="n"/>
    </row>
    <row r="26">
      <c r="A26" s="4" t="inlineStr">
        <is>
          <t xml:space="preserve">  Inventory</t>
        </is>
      </c>
      <c r="B26" s="2" t="inlineStr">
        <is>
          <t>(currency × unit)</t>
        </is>
      </c>
      <c r="C26" s="38" t="n"/>
      <c r="D26" s="38" t="n"/>
      <c r="E26" s="38" t="n"/>
      <c r="F26" s="38" t="n"/>
      <c r="G26" s="38" t="n"/>
    </row>
    <row r="27">
      <c r="A27" s="4" t="inlineStr">
        <is>
          <t xml:space="preserve">  Prepaid expenses</t>
        </is>
      </c>
      <c r="B27" s="2" t="inlineStr">
        <is>
          <t>(currency × unit)</t>
        </is>
      </c>
      <c r="C27" s="38" t="n"/>
      <c r="D27" s="38" t="n"/>
      <c r="E27" s="38" t="n"/>
      <c r="F27" s="38" t="n"/>
      <c r="G27" s="38" t="n"/>
    </row>
    <row r="28">
      <c r="A28" s="4" t="inlineStr">
        <is>
          <t>Total current assets</t>
        </is>
      </c>
      <c r="B28" s="2" t="inlineStr">
        <is>
          <t>(currency × unit)</t>
        </is>
      </c>
      <c r="C28" s="38" t="n"/>
      <c r="D28" s="38" t="n"/>
      <c r="E28" s="38" t="n"/>
      <c r="F28" s="38" t="n"/>
      <c r="G28" s="38" t="n"/>
    </row>
    <row r="29">
      <c r="A29" s="4" t="inlineStr">
        <is>
          <t>Non-current assets</t>
        </is>
      </c>
      <c r="B29" s="2" t="inlineStr">
        <is>
          <t>(currency × unit)</t>
        </is>
      </c>
      <c r="C29" s="38" t="n"/>
      <c r="D29" s="38" t="n"/>
      <c r="E29" s="38" t="n"/>
      <c r="F29" s="38" t="n"/>
      <c r="G29" s="38" t="n"/>
    </row>
    <row r="30">
      <c r="A30" s="4" t="inlineStr">
        <is>
          <t xml:space="preserve">  Property, plant &amp; equipment</t>
        </is>
      </c>
      <c r="B30" s="2" t="inlineStr">
        <is>
          <t>(currency × unit)</t>
        </is>
      </c>
      <c r="C30" s="38" t="n"/>
      <c r="D30" s="38" t="n"/>
      <c r="E30" s="38" t="n"/>
      <c r="F30" s="38" t="n"/>
      <c r="G30" s="38" t="n"/>
    </row>
    <row r="31">
      <c r="A31" s="4" t="inlineStr">
        <is>
          <t xml:space="preserve">  Intangible assets</t>
        </is>
      </c>
      <c r="B31" s="2" t="inlineStr">
        <is>
          <t>(currency × unit)</t>
        </is>
      </c>
      <c r="C31" s="38" t="n"/>
      <c r="D31" s="38" t="n"/>
      <c r="E31" s="38" t="n"/>
      <c r="F31" s="38" t="n"/>
      <c r="G31" s="38" t="n"/>
    </row>
    <row r="32">
      <c r="A32" s="4" t="inlineStr">
        <is>
          <t xml:space="preserve">  Other long-term assets</t>
        </is>
      </c>
      <c r="B32" s="2" t="inlineStr">
        <is>
          <t>(currency × unit)</t>
        </is>
      </c>
      <c r="C32" s="38" t="n"/>
      <c r="D32" s="38" t="n"/>
      <c r="E32" s="38" t="n"/>
      <c r="F32" s="38" t="n"/>
      <c r="G32" s="38" t="n"/>
    </row>
    <row r="33">
      <c r="A33" s="4" t="inlineStr">
        <is>
          <t>Total assets</t>
        </is>
      </c>
      <c r="B33" s="2" t="inlineStr">
        <is>
          <t>(currency × unit)</t>
        </is>
      </c>
      <c r="C33" s="38" t="n"/>
      <c r="D33" s="38" t="n"/>
      <c r="E33" s="38" t="n"/>
      <c r="F33" s="38" t="n"/>
      <c r="G33" s="38" t="n"/>
    </row>
    <row r="35">
      <c r="A35" s="4" t="inlineStr">
        <is>
          <t>Current liabilities</t>
        </is>
      </c>
      <c r="B35" s="2" t="inlineStr">
        <is>
          <t>(currency × unit)</t>
        </is>
      </c>
      <c r="C35" s="38" t="n"/>
      <c r="D35" s="38" t="n"/>
      <c r="E35" s="38" t="n"/>
      <c r="F35" s="38" t="n"/>
      <c r="G35" s="38" t="n"/>
    </row>
    <row r="36">
      <c r="A36" s="4" t="inlineStr">
        <is>
          <t xml:space="preserve">  Accounts payable</t>
        </is>
      </c>
      <c r="B36" s="2" t="inlineStr">
        <is>
          <t>(currency × unit)</t>
        </is>
      </c>
      <c r="C36" s="38" t="n"/>
      <c r="D36" s="38" t="n"/>
      <c r="E36" s="38" t="n"/>
      <c r="F36" s="38" t="n"/>
      <c r="G36" s="38" t="n"/>
    </row>
    <row r="37">
      <c r="A37" s="4" t="inlineStr">
        <is>
          <t xml:space="preserve">  Short-term debt</t>
        </is>
      </c>
      <c r="B37" s="2" t="inlineStr">
        <is>
          <t>(currency × unit)</t>
        </is>
      </c>
      <c r="C37" s="38" t="n"/>
      <c r="D37" s="38" t="n"/>
      <c r="E37" s="38" t="n"/>
      <c r="F37" s="38" t="n"/>
      <c r="G37" s="38" t="n"/>
    </row>
    <row r="38">
      <c r="A38" s="4" t="inlineStr">
        <is>
          <t xml:space="preserve">  Other current liabilities</t>
        </is>
      </c>
      <c r="B38" s="2" t="inlineStr">
        <is>
          <t>(currency × unit)</t>
        </is>
      </c>
      <c r="C38" s="38" t="n"/>
      <c r="D38" s="38" t="n"/>
      <c r="E38" s="38" t="n"/>
      <c r="F38" s="38" t="n"/>
      <c r="G38" s="38" t="n"/>
    </row>
    <row r="39">
      <c r="A39" s="4" t="inlineStr">
        <is>
          <t>Total current liabilities</t>
        </is>
      </c>
      <c r="B39" s="2" t="inlineStr">
        <is>
          <t>(currency × unit)</t>
        </is>
      </c>
      <c r="C39" s="38" t="n"/>
      <c r="D39" s="38" t="n"/>
      <c r="E39" s="38" t="n"/>
      <c r="F39" s="38" t="n"/>
      <c r="G39" s="38" t="n"/>
    </row>
    <row r="40">
      <c r="A40" s="4" t="inlineStr">
        <is>
          <t>Non-current liabilities</t>
        </is>
      </c>
      <c r="B40" s="2" t="inlineStr">
        <is>
          <t>(currency × unit)</t>
        </is>
      </c>
      <c r="C40" s="38" t="n"/>
      <c r="D40" s="38" t="n"/>
      <c r="E40" s="38" t="n"/>
      <c r="F40" s="38" t="n"/>
      <c r="G40" s="38" t="n"/>
    </row>
    <row r="41">
      <c r="A41" s="4" t="inlineStr">
        <is>
          <t xml:space="preserve">  Long-term debt</t>
        </is>
      </c>
      <c r="B41" s="2" t="inlineStr">
        <is>
          <t>(currency × unit)</t>
        </is>
      </c>
      <c r="C41" s="38" t="n"/>
      <c r="D41" s="38" t="n"/>
      <c r="E41" s="38" t="n"/>
      <c r="F41" s="38" t="n"/>
      <c r="G41" s="38" t="n"/>
    </row>
    <row r="42">
      <c r="A42" s="4" t="inlineStr">
        <is>
          <t xml:space="preserve">  Other long-term liabilities</t>
        </is>
      </c>
      <c r="B42" s="2" t="inlineStr">
        <is>
          <t>(currency × unit)</t>
        </is>
      </c>
      <c r="C42" s="38" t="n"/>
      <c r="D42" s="38" t="n"/>
      <c r="E42" s="38" t="n"/>
      <c r="F42" s="38" t="n"/>
      <c r="G42" s="38" t="n"/>
    </row>
    <row r="43">
      <c r="A43" s="4" t="inlineStr">
        <is>
          <t>Total liabilities</t>
        </is>
      </c>
      <c r="B43" s="2" t="inlineStr">
        <is>
          <t>(currency × unit)</t>
        </is>
      </c>
      <c r="C43" s="38" t="n"/>
      <c r="D43" s="38" t="n"/>
      <c r="E43" s="38" t="n"/>
      <c r="F43" s="38" t="n"/>
      <c r="G43" s="38" t="n"/>
    </row>
    <row r="44">
      <c r="A44" s="4" t="inlineStr">
        <is>
          <t>Total equity</t>
        </is>
      </c>
      <c r="B44" s="2" t="inlineStr">
        <is>
          <t>(currency × unit)</t>
        </is>
      </c>
      <c r="C44" s="38" t="n"/>
      <c r="D44" s="38" t="n"/>
      <c r="E44" s="38" t="n"/>
      <c r="F44" s="38" t="n"/>
      <c r="G44" s="38" t="n"/>
    </row>
    <row r="46">
      <c r="A46" s="3" t="inlineStr">
        <is>
          <t>Derived metrics (calculated)</t>
        </is>
      </c>
    </row>
    <row r="47">
      <c r="A47" s="4" t="inlineStr">
        <is>
          <t>Net working capital  (= current assets − current liabilities)</t>
        </is>
      </c>
      <c r="B47" s="2" t="inlineStr">
        <is>
          <t>(currency × unit)</t>
        </is>
      </c>
      <c r="C47" s="39">
        <f>C28-C39</f>
        <v/>
      </c>
      <c r="D47" s="39">
        <f>D28-D39</f>
        <v/>
      </c>
      <c r="E47" s="39">
        <f>E28-E39</f>
        <v/>
      </c>
      <c r="F47" s="39">
        <f>F28-F39</f>
        <v/>
      </c>
      <c r="G47" s="39">
        <f>G28-G39</f>
        <v/>
      </c>
    </row>
    <row r="48">
      <c r="A48" s="4" t="inlineStr">
        <is>
          <t>Net debt  (= short-term debt + long-term debt − cash)</t>
        </is>
      </c>
      <c r="B48" s="2" t="inlineStr">
        <is>
          <t>(currency × unit)</t>
        </is>
      </c>
      <c r="C48" s="39">
        <f>C37+C41-C24</f>
        <v/>
      </c>
      <c r="D48" s="39">
        <f>D37+D41-D24</f>
        <v/>
      </c>
      <c r="E48" s="39">
        <f>E37+E41-E24</f>
        <v/>
      </c>
      <c r="F48" s="39">
        <f>F37+F41-F24</f>
        <v/>
      </c>
      <c r="G48" s="39">
        <f>G37+G41-G24</f>
        <v/>
      </c>
    </row>
  </sheetData>
  <mergeCells count="5">
    <mergeCell ref="A6:G6"/>
    <mergeCell ref="A2:H2"/>
    <mergeCell ref="A22:G22"/>
    <mergeCell ref="A1:H1"/>
    <mergeCell ref="A46:G4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32" customWidth="1" min="1" max="1"/>
    <col width="12" customWidth="1" min="2" max="2"/>
    <col width="16" customWidth="1" min="3" max="3"/>
    <col width="16" customWidth="1" min="4" max="4"/>
    <col width="16" customWidth="1" min="5" max="5"/>
    <col width="16" customWidth="1" min="6" max="6"/>
    <col width="16" customWidth="1" min="7" max="7"/>
    <col width="16" customWidth="1" min="8" max="8"/>
  </cols>
  <sheetData>
    <row r="1" ht="22" customHeight="1">
      <c r="A1" s="1" t="inlineStr">
        <is>
          <t>Projections — driven by Inputs</t>
        </is>
      </c>
    </row>
    <row r="2">
      <c r="A2" s="2" t="inlineStr">
        <is>
          <t>Year-by-year forecast lines. Every assumption flows from Inputs named ranges. Edit a value on Inputs and this sheet recalculates.</t>
        </is>
      </c>
    </row>
    <row r="4">
      <c r="A4" s="7" t="inlineStr">
        <is>
          <t>Line item</t>
        </is>
      </c>
      <c r="B4" s="7" t="inlineStr">
        <is>
          <t>Unit</t>
        </is>
      </c>
      <c r="C4" s="7" t="inlineStr">
        <is>
          <t>Y0 (base)</t>
        </is>
      </c>
      <c r="D4" s="7" t="inlineStr">
        <is>
          <t>Y1</t>
        </is>
      </c>
      <c r="E4" s="7" t="inlineStr">
        <is>
          <t>Y2</t>
        </is>
      </c>
      <c r="F4" s="7" t="inlineStr">
        <is>
          <t>Y3</t>
        </is>
      </c>
      <c r="G4" s="7" t="inlineStr">
        <is>
          <t>Y4</t>
        </is>
      </c>
      <c r="H4" s="7" t="inlineStr">
        <is>
          <t>Y5</t>
        </is>
      </c>
    </row>
    <row r="6">
      <c r="A6" s="3" t="inlineStr">
        <is>
          <t>Revenue &amp; growth</t>
        </is>
      </c>
    </row>
    <row r="8">
      <c r="A8" s="4" t="inlineStr">
        <is>
          <t>Revenue</t>
        </is>
      </c>
      <c r="B8" s="2" t="inlineStr">
        <is>
          <t>(from Inputs)</t>
        </is>
      </c>
      <c r="C8" s="40">
        <f>revenue_y0</f>
        <v/>
      </c>
      <c r="D8" s="41">
        <f>C8*(1+revenue_growth_y1)</f>
        <v/>
      </c>
      <c r="E8" s="41">
        <f>D8*(1+revenue_growth_y2)</f>
        <v/>
      </c>
      <c r="F8" s="41">
        <f>E8*(1+revenue_growth_y3)</f>
        <v/>
      </c>
      <c r="G8" s="41">
        <f>F8*(1+revenue_growth_y4)</f>
        <v/>
      </c>
      <c r="H8" s="41">
        <f>G8*(1+revenue_growth_y5)</f>
        <v/>
      </c>
    </row>
    <row r="9">
      <c r="A9" s="4" t="inlineStr">
        <is>
          <t>Revenue growth</t>
        </is>
      </c>
      <c r="B9" s="2" t="inlineStr">
        <is>
          <t>%</t>
        </is>
      </c>
      <c r="D9" s="42">
        <f>revenue_growth_y1</f>
        <v/>
      </c>
      <c r="E9" s="42">
        <f>revenue_growth_y2</f>
        <v/>
      </c>
      <c r="F9" s="42">
        <f>revenue_growth_y3</f>
        <v/>
      </c>
      <c r="G9" s="42">
        <f>revenue_growth_y4</f>
        <v/>
      </c>
      <c r="H9" s="42">
        <f>revenue_growth_y5</f>
        <v/>
      </c>
    </row>
    <row r="11">
      <c r="A11" s="3" t="inlineStr">
        <is>
          <t>Profitability</t>
        </is>
      </c>
    </row>
    <row r="12">
      <c r="A12" s="4" t="inlineStr">
        <is>
          <t>Gross profit</t>
        </is>
      </c>
      <c r="B12" s="2" t="inlineStr">
        <is>
          <t>(currency × unit)</t>
        </is>
      </c>
      <c r="C12" s="41">
        <f>IFERROR(gross_profit_y0,"")</f>
        <v/>
      </c>
      <c r="D12" s="41">
        <f>D8*gross_margin_y1</f>
        <v/>
      </c>
      <c r="E12" s="41">
        <f>E8*gross_margin_y2</f>
        <v/>
      </c>
      <c r="F12" s="41">
        <f>F8*gross_margin_y3</f>
        <v/>
      </c>
      <c r="G12" s="41">
        <f>G8*gross_margin_y4</f>
        <v/>
      </c>
      <c r="H12" s="41">
        <f>H8*gross_margin_y5</f>
        <v/>
      </c>
    </row>
    <row r="13">
      <c r="A13" s="4" t="inlineStr">
        <is>
          <t>Gross margin</t>
        </is>
      </c>
      <c r="B13" s="2" t="inlineStr">
        <is>
          <t>%</t>
        </is>
      </c>
      <c r="C13">
        <f>IFERROR(gross_profit_y0/revenue_y0,"")</f>
        <v/>
      </c>
      <c r="D13" s="42">
        <f>gross_margin_y1</f>
        <v/>
      </c>
      <c r="E13" s="42">
        <f>gross_margin_y2</f>
        <v/>
      </c>
      <c r="F13" s="42">
        <f>gross_margin_y3</f>
        <v/>
      </c>
      <c r="G13" s="42">
        <f>gross_margin_y4</f>
        <v/>
      </c>
      <c r="H13" s="42">
        <f>gross_margin_y5</f>
        <v/>
      </c>
    </row>
    <row r="14">
      <c r="A14" s="4" t="inlineStr">
        <is>
          <t>Operating expenses</t>
        </is>
      </c>
      <c r="B14" s="2" t="inlineStr">
        <is>
          <t>(currency × unit)</t>
        </is>
      </c>
      <c r="C14" s="41">
        <f>IFERROR(opex_y0,"")</f>
        <v/>
      </c>
      <c r="D14" s="41">
        <f>-D8*opex_pct_revenue_y1</f>
        <v/>
      </c>
      <c r="E14" s="41">
        <f>-E8*opex_pct_revenue_y2</f>
        <v/>
      </c>
      <c r="F14" s="41">
        <f>-F8*opex_pct_revenue_y3</f>
        <v/>
      </c>
      <c r="G14" s="41">
        <f>-G8*opex_pct_revenue_y4</f>
        <v/>
      </c>
      <c r="H14" s="41">
        <f>-H8*opex_pct_revenue_y5</f>
        <v/>
      </c>
    </row>
    <row r="15">
      <c r="A15" s="4" t="inlineStr">
        <is>
          <t>EBITDA</t>
        </is>
      </c>
      <c r="B15" s="2" t="inlineStr">
        <is>
          <t>(currency × unit)</t>
        </is>
      </c>
      <c r="C15" s="41">
        <f>IFERROR(ebitda_y0,"")</f>
        <v/>
      </c>
      <c r="D15" s="41">
        <f>D12+D14</f>
        <v/>
      </c>
      <c r="E15" s="41">
        <f>E12+E14</f>
        <v/>
      </c>
      <c r="F15" s="41">
        <f>F12+F14</f>
        <v/>
      </c>
      <c r="G15" s="41">
        <f>G12+G14</f>
        <v/>
      </c>
      <c r="H15" s="41">
        <f>H12+H14</f>
        <v/>
      </c>
    </row>
    <row r="16">
      <c r="A16" s="4" t="inlineStr">
        <is>
          <t>EBITDA margin</t>
        </is>
      </c>
      <c r="B16" s="2" t="inlineStr">
        <is>
          <t>%</t>
        </is>
      </c>
      <c r="C16">
        <f>IFERROR(ebitda_y0/revenue_y0,"")</f>
        <v/>
      </c>
      <c r="D16" s="42">
        <f>IFERROR(D15/D8,0)</f>
        <v/>
      </c>
      <c r="E16" s="42">
        <f>IFERROR(E15/E8,0)</f>
        <v/>
      </c>
      <c r="F16" s="42">
        <f>IFERROR(F15/F8,0)</f>
        <v/>
      </c>
      <c r="G16" s="42">
        <f>IFERROR(G15/G8,0)</f>
        <v/>
      </c>
      <c r="H16" s="42">
        <f>IFERROR(H15/H8,0)</f>
        <v/>
      </c>
    </row>
    <row r="17">
      <c r="A17" s="4" t="inlineStr">
        <is>
          <t>Depreciation &amp; amortization</t>
        </is>
      </c>
      <c r="B17" s="2" t="inlineStr">
        <is>
          <t>(currency × unit)</t>
        </is>
      </c>
      <c r="C17" s="41" t="n"/>
      <c r="D17" s="41">
        <f>-D8*dep_pct_revenue_y1</f>
        <v/>
      </c>
      <c r="E17" s="41">
        <f>-E8*dep_pct_revenue_y2</f>
        <v/>
      </c>
      <c r="F17" s="41">
        <f>-F8*dep_pct_revenue_y3</f>
        <v/>
      </c>
      <c r="G17" s="41">
        <f>-G8*dep_pct_revenue_y4</f>
        <v/>
      </c>
      <c r="H17" s="41">
        <f>-H8*dep_pct_revenue_y5</f>
        <v/>
      </c>
    </row>
    <row r="18">
      <c r="A18" s="4" t="inlineStr">
        <is>
          <t>EBIT</t>
        </is>
      </c>
      <c r="B18" s="2" t="inlineStr">
        <is>
          <t>(currency × unit)</t>
        </is>
      </c>
      <c r="C18" s="41">
        <f>IFERROR(ebit_y0,"")</f>
        <v/>
      </c>
      <c r="D18" s="41">
        <f>D15+D17</f>
        <v/>
      </c>
      <c r="E18" s="41">
        <f>E15+E17</f>
        <v/>
      </c>
      <c r="F18" s="41">
        <f>F15+F17</f>
        <v/>
      </c>
      <c r="G18" s="41">
        <f>G15+G17</f>
        <v/>
      </c>
      <c r="H18" s="41">
        <f>H15+H17</f>
        <v/>
      </c>
    </row>
    <row r="19">
      <c r="A19" s="4" t="inlineStr">
        <is>
          <t>EBIT margin</t>
        </is>
      </c>
      <c r="B19" s="2" t="inlineStr">
        <is>
          <t>%</t>
        </is>
      </c>
      <c r="C19">
        <f>IFERROR(ebit_y0/revenue_y0,"")</f>
        <v/>
      </c>
      <c r="D19" s="42">
        <f>IFERROR(D18/D8,0)</f>
        <v/>
      </c>
      <c r="E19" s="42">
        <f>IFERROR(E18/E8,0)</f>
        <v/>
      </c>
      <c r="F19" s="42">
        <f>IFERROR(F18/F8,0)</f>
        <v/>
      </c>
      <c r="G19" s="42">
        <f>IFERROR(G18/G8,0)</f>
        <v/>
      </c>
      <c r="H19" s="42">
        <f>IFERROR(H18/H8,0)</f>
        <v/>
      </c>
    </row>
    <row r="21">
      <c r="A21" s="3" t="inlineStr">
        <is>
          <t>Tax &amp; net income</t>
        </is>
      </c>
    </row>
    <row r="22">
      <c r="A22" s="4" t="inlineStr">
        <is>
          <t>Tax</t>
        </is>
      </c>
      <c r="B22" s="2" t="inlineStr">
        <is>
          <t>(currency × unit)</t>
        </is>
      </c>
      <c r="C22" s="41" t="n"/>
      <c r="D22" s="41">
        <f>IF(ISNUMBER(tax_effective_rate),-MAX(D18,0)*tax_effective_rate,IF(EXACT(tax_type,"two_tier"),IF(D18&lt;=tax_threshold,-MAX(D18,0)*tax_rate_low,-(tax_threshold*tax_rate_low+MAX(D18-tax_threshold,0)*tax_rate_high)),-MAX(D18,0)*tax_rate_high))</f>
        <v/>
      </c>
      <c r="E22" s="41">
        <f>IF(ISNUMBER(tax_effective_rate),-MAX(E18,0)*tax_effective_rate,IF(EXACT(tax_type,"two_tier"),IF(E18&lt;=tax_threshold,-MAX(E18,0)*tax_rate_low,-(tax_threshold*tax_rate_low+MAX(E18-tax_threshold,0)*tax_rate_high)),-MAX(E18,0)*tax_rate_high))</f>
        <v/>
      </c>
      <c r="F22" s="41">
        <f>IF(ISNUMBER(tax_effective_rate),-MAX(F18,0)*tax_effective_rate,IF(EXACT(tax_type,"two_tier"),IF(F18&lt;=tax_threshold,-MAX(F18,0)*tax_rate_low,-(tax_threshold*tax_rate_low+MAX(F18-tax_threshold,0)*tax_rate_high)),-MAX(F18,0)*tax_rate_high))</f>
        <v/>
      </c>
      <c r="G22" s="41">
        <f>IF(ISNUMBER(tax_effective_rate),-MAX(G18,0)*tax_effective_rate,IF(EXACT(tax_type,"two_tier"),IF(G18&lt;=tax_threshold,-MAX(G18,0)*tax_rate_low,-(tax_threshold*tax_rate_low+MAX(G18-tax_threshold,0)*tax_rate_high)),-MAX(G18,0)*tax_rate_high))</f>
        <v/>
      </c>
      <c r="H22" s="41">
        <f>IF(ISNUMBER(tax_effective_rate),-MAX(H18,0)*tax_effective_rate,IF(EXACT(tax_type,"two_tier"),IF(H18&lt;=tax_threshold,-MAX(H18,0)*tax_rate_low,-(tax_threshold*tax_rate_low+MAX(H18-tax_threshold,0)*tax_rate_high)),-MAX(H18,0)*tax_rate_high))</f>
        <v/>
      </c>
    </row>
    <row r="23">
      <c r="A23" s="4" t="inlineStr">
        <is>
          <t>Net income</t>
        </is>
      </c>
      <c r="B23" s="2" t="inlineStr">
        <is>
          <t>(currency × unit)</t>
        </is>
      </c>
      <c r="C23" s="41" t="n"/>
      <c r="D23" s="41">
        <f>D18+D22</f>
        <v/>
      </c>
      <c r="E23" s="41">
        <f>E18+E22</f>
        <v/>
      </c>
      <c r="F23" s="41">
        <f>F18+F22</f>
        <v/>
      </c>
      <c r="G23" s="41">
        <f>G18+G22</f>
        <v/>
      </c>
      <c r="H23" s="41">
        <f>H18+H22</f>
        <v/>
      </c>
    </row>
    <row r="25">
      <c r="A25" s="3" t="inlineStr">
        <is>
          <t>Capex &amp; working capital</t>
        </is>
      </c>
    </row>
    <row r="26">
      <c r="A26" s="4" t="inlineStr">
        <is>
          <t>Capex</t>
        </is>
      </c>
      <c r="B26" s="2" t="inlineStr">
        <is>
          <t>(currency × unit)</t>
        </is>
      </c>
      <c r="C26" s="41" t="n"/>
      <c r="D26" s="41">
        <f>-D8*capex_pct_revenue_y1</f>
        <v/>
      </c>
      <c r="E26" s="41">
        <f>-E8*capex_pct_revenue_y2</f>
        <v/>
      </c>
      <c r="F26" s="41">
        <f>-F8*capex_pct_revenue_y3</f>
        <v/>
      </c>
      <c r="G26" s="41">
        <f>-G8*capex_pct_revenue_y4</f>
        <v/>
      </c>
      <c r="H26" s="41">
        <f>-H8*capex_pct_revenue_y5</f>
        <v/>
      </c>
    </row>
    <row r="27">
      <c r="A27" s="4" t="inlineStr">
        <is>
          <t>Net working capital</t>
        </is>
      </c>
      <c r="B27" s="2" t="inlineStr">
        <is>
          <t>(from Inputs)</t>
        </is>
      </c>
      <c r="C27" s="40">
        <f>nwc_y0</f>
        <v/>
      </c>
      <c r="D27" s="41">
        <f>D8*nwc_pct_sales_y1</f>
        <v/>
      </c>
      <c r="E27" s="41">
        <f>E8*nwc_pct_sales_y2</f>
        <v/>
      </c>
      <c r="F27" s="41">
        <f>F8*nwc_pct_sales_y3</f>
        <v/>
      </c>
      <c r="G27" s="41">
        <f>G8*nwc_pct_sales_y4</f>
        <v/>
      </c>
      <c r="H27" s="41">
        <f>H8*nwc_pct_sales_y5</f>
        <v/>
      </c>
    </row>
    <row r="28">
      <c r="A28" s="4" t="inlineStr">
        <is>
          <t>Δ Working capital</t>
        </is>
      </c>
      <c r="B28" s="2" t="inlineStr">
        <is>
          <t>(currency × unit)</t>
        </is>
      </c>
      <c r="C28" s="41" t="n"/>
      <c r="D28" s="41">
        <f>-(D27-C27)</f>
        <v/>
      </c>
      <c r="E28" s="41">
        <f>-(E27-D27)</f>
        <v/>
      </c>
      <c r="F28" s="41">
        <f>-(F27-E27)</f>
        <v/>
      </c>
      <c r="G28" s="41">
        <f>-(G27-F27)</f>
        <v/>
      </c>
      <c r="H28" s="41">
        <f>-(H27-G27)</f>
        <v/>
      </c>
    </row>
    <row r="30">
      <c r="A30" s="3" t="inlineStr">
        <is>
          <t>FCFF construction</t>
        </is>
      </c>
    </row>
    <row r="31">
      <c r="A31" s="4" t="inlineStr">
        <is>
          <t>EBIT</t>
        </is>
      </c>
      <c r="B31" s="2" t="inlineStr">
        <is>
          <t>(currency × unit)</t>
        </is>
      </c>
      <c r="C31" s="41" t="n"/>
      <c r="D31" s="41">
        <f>D18</f>
        <v/>
      </c>
      <c r="E31" s="41">
        <f>E18</f>
        <v/>
      </c>
      <c r="F31" s="41">
        <f>F18</f>
        <v/>
      </c>
      <c r="G31" s="41">
        <f>G18</f>
        <v/>
      </c>
      <c r="H31" s="41">
        <f>H18</f>
        <v/>
      </c>
    </row>
    <row r="32">
      <c r="A32" s="4" t="inlineStr">
        <is>
          <t>Less: Tax on EBIT</t>
        </is>
      </c>
      <c r="B32" s="2" t="inlineStr">
        <is>
          <t>(currency × unit)</t>
        </is>
      </c>
      <c r="C32" s="41" t="n"/>
      <c r="D32" s="41">
        <f>D22</f>
        <v/>
      </c>
      <c r="E32" s="41">
        <f>E22</f>
        <v/>
      </c>
      <c r="F32" s="41">
        <f>F22</f>
        <v/>
      </c>
      <c r="G32" s="41">
        <f>G22</f>
        <v/>
      </c>
      <c r="H32" s="41">
        <f>H22</f>
        <v/>
      </c>
    </row>
    <row r="33">
      <c r="A33" s="4" t="inlineStr">
        <is>
          <t>Add: Depreciation</t>
        </is>
      </c>
      <c r="B33" s="2" t="inlineStr">
        <is>
          <t>(currency × unit)</t>
        </is>
      </c>
      <c r="C33" s="41" t="n"/>
      <c r="D33" s="41">
        <f>-D17</f>
        <v/>
      </c>
      <c r="E33" s="41">
        <f>-E17</f>
        <v/>
      </c>
      <c r="F33" s="41">
        <f>-F17</f>
        <v/>
      </c>
      <c r="G33" s="41">
        <f>-G17</f>
        <v/>
      </c>
      <c r="H33" s="41">
        <f>-H17</f>
        <v/>
      </c>
    </row>
    <row r="34">
      <c r="A34" s="4" t="inlineStr">
        <is>
          <t>Less: Capex</t>
        </is>
      </c>
      <c r="B34" s="2" t="inlineStr">
        <is>
          <t>(currency × unit)</t>
        </is>
      </c>
      <c r="C34" s="41" t="n"/>
      <c r="D34" s="41">
        <f>D26</f>
        <v/>
      </c>
      <c r="E34" s="41">
        <f>E26</f>
        <v/>
      </c>
      <c r="F34" s="41">
        <f>F26</f>
        <v/>
      </c>
      <c r="G34" s="41">
        <f>G26</f>
        <v/>
      </c>
      <c r="H34" s="41">
        <f>H26</f>
        <v/>
      </c>
    </row>
    <row r="35">
      <c r="A35" s="4" t="inlineStr">
        <is>
          <t>Less: Δ Working capital</t>
        </is>
      </c>
      <c r="B35" s="2" t="inlineStr">
        <is>
          <t>(currency × unit)</t>
        </is>
      </c>
      <c r="C35" s="41" t="n"/>
      <c r="D35" s="41">
        <f>D28</f>
        <v/>
      </c>
      <c r="E35" s="41">
        <f>E28</f>
        <v/>
      </c>
      <c r="F35" s="41">
        <f>F28</f>
        <v/>
      </c>
      <c r="G35" s="41">
        <f>G28</f>
        <v/>
      </c>
      <c r="H35" s="41">
        <f>H28</f>
        <v/>
      </c>
    </row>
    <row r="36">
      <c r="A36" s="43" t="inlineStr">
        <is>
          <t>Free Cash Flow to Firm (FCFF)</t>
        </is>
      </c>
      <c r="B36" s="2" t="inlineStr">
        <is>
          <t>(currency × unit)</t>
        </is>
      </c>
      <c r="C36" s="41" t="n"/>
      <c r="D36" s="44">
        <f>SUM(D31:D35)</f>
        <v/>
      </c>
      <c r="E36" s="44">
        <f>SUM(E31:E35)</f>
        <v/>
      </c>
      <c r="F36" s="44">
        <f>SUM(F31:F35)</f>
        <v/>
      </c>
      <c r="G36" s="44">
        <f>SUM(G31:G35)</f>
        <v/>
      </c>
      <c r="H36" s="44">
        <f>SUM(H31:H35)</f>
        <v/>
      </c>
    </row>
  </sheetData>
  <mergeCells count="7">
    <mergeCell ref="A21:H21"/>
    <mergeCell ref="A30:H30"/>
    <mergeCell ref="A25:H25"/>
    <mergeCell ref="A2:H2"/>
    <mergeCell ref="A11:H11"/>
    <mergeCell ref="A1:H1"/>
    <mergeCell ref="A6:H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36" customWidth="1" min="1" max="1"/>
    <col width="12"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22" customHeight="1">
      <c r="A1" s="1" t="inlineStr">
        <is>
          <t>DCF — Per Management scenario</t>
        </is>
      </c>
    </row>
    <row r="2">
      <c r="A2" s="2" t="inlineStr">
        <is>
          <t>FCFF schedule from Projections, discounted at scenario WACC. Convention: full-period discounting (no stub-year partial); terminal value computed at end of Y5 and PV'd at the same Y5 discount factor.</t>
        </is>
      </c>
    </row>
    <row r="4">
      <c r="A4" s="7" t="inlineStr">
        <is>
          <t>Item</t>
        </is>
      </c>
      <c r="B4" s="7" t="inlineStr">
        <is>
          <t>Unit</t>
        </is>
      </c>
      <c r="C4" s="45" t="n"/>
      <c r="D4" s="7" t="inlineStr">
        <is>
          <t>Y1</t>
        </is>
      </c>
      <c r="E4" s="7" t="inlineStr">
        <is>
          <t>Y2</t>
        </is>
      </c>
      <c r="F4" s="7" t="inlineStr">
        <is>
          <t>Y3</t>
        </is>
      </c>
      <c r="G4" s="7" t="inlineStr">
        <is>
          <t>Y4</t>
        </is>
      </c>
      <c r="H4" s="7" t="inlineStr">
        <is>
          <t>Y5</t>
        </is>
      </c>
      <c r="I4" s="7" t="inlineStr">
        <is>
          <t>Terminal</t>
        </is>
      </c>
    </row>
    <row r="6">
      <c r="A6" s="3" t="inlineStr">
        <is>
          <t>Discount inputs</t>
        </is>
      </c>
    </row>
    <row r="7">
      <c r="A7" s="4" t="inlineStr">
        <is>
          <t>WACC (this scenario)</t>
        </is>
      </c>
      <c r="B7" s="2" t="inlineStr">
        <is>
          <t>%</t>
        </is>
      </c>
      <c r="D7" s="46">
        <f>wacc_per_mgmt</f>
        <v/>
      </c>
    </row>
    <row r="8">
      <c r="A8" s="4" t="inlineStr">
        <is>
          <t>Terminal growth rate</t>
        </is>
      </c>
      <c r="B8" s="2" t="inlineStr">
        <is>
          <t>%</t>
        </is>
      </c>
      <c r="D8" s="46">
        <f>terminal_growth_rate</f>
        <v/>
      </c>
    </row>
    <row r="10">
      <c r="A10" s="3" t="inlineStr">
        <is>
          <t>FCFF &amp; discount mechanics</t>
        </is>
      </c>
    </row>
    <row r="11">
      <c r="A11" s="4" t="inlineStr">
        <is>
          <t>FCFF</t>
        </is>
      </c>
      <c r="B11" s="2" t="inlineStr">
        <is>
          <t>(currency × unit)</t>
        </is>
      </c>
      <c r="D11" s="41">
        <f>Projections!D36</f>
        <v/>
      </c>
      <c r="E11" s="41">
        <f>Projections!E36</f>
        <v/>
      </c>
      <c r="F11" s="41">
        <f>Projections!F36</f>
        <v/>
      </c>
      <c r="G11" s="41">
        <f>Projections!G36</f>
        <v/>
      </c>
      <c r="H11" s="41">
        <f>Projections!H36</f>
        <v/>
      </c>
    </row>
    <row r="12">
      <c r="A12" s="4" t="inlineStr">
        <is>
          <t>Discount period</t>
        </is>
      </c>
      <c r="B12" s="2" t="inlineStr">
        <is>
          <t>years</t>
        </is>
      </c>
      <c r="D12" s="47" t="n">
        <v>1</v>
      </c>
      <c r="E12" s="47" t="n">
        <v>2</v>
      </c>
      <c r="F12" s="47" t="n">
        <v>3</v>
      </c>
      <c r="G12" s="47" t="n">
        <v>4</v>
      </c>
      <c r="H12" s="47" t="n">
        <v>5</v>
      </c>
    </row>
    <row r="13">
      <c r="A13" s="4" t="inlineStr">
        <is>
          <t>Discount factor</t>
        </is>
      </c>
      <c r="B13" s="2" t="inlineStr">
        <is>
          <t>x</t>
        </is>
      </c>
      <c r="D13" s="48">
        <f>1/(1+wacc_per_mgmt)^D12</f>
        <v/>
      </c>
      <c r="E13" s="48">
        <f>1/(1+wacc_per_mgmt)^E12</f>
        <v/>
      </c>
      <c r="F13" s="48">
        <f>1/(1+wacc_per_mgmt)^F12</f>
        <v/>
      </c>
      <c r="G13" s="48">
        <f>1/(1+wacc_per_mgmt)^G12</f>
        <v/>
      </c>
      <c r="H13" s="48">
        <f>1/(1+wacc_per_mgmt)^H12</f>
        <v/>
      </c>
    </row>
    <row r="14">
      <c r="A14" s="4" t="inlineStr">
        <is>
          <t>PV of FCFF</t>
        </is>
      </c>
      <c r="B14" s="2" t="inlineStr">
        <is>
          <t>(currency × unit)</t>
        </is>
      </c>
      <c r="D14" s="41">
        <f>D11*D13</f>
        <v/>
      </c>
      <c r="E14" s="41">
        <f>E11*E13</f>
        <v/>
      </c>
      <c r="F14" s="41">
        <f>F11*F13</f>
        <v/>
      </c>
      <c r="G14" s="41">
        <f>G11*G13</f>
        <v/>
      </c>
      <c r="H14" s="41">
        <f>H11*H13</f>
        <v/>
      </c>
    </row>
    <row r="16">
      <c r="A16" s="3" t="inlineStr">
        <is>
          <t>Terminal value</t>
        </is>
      </c>
    </row>
    <row r="17">
      <c r="A17" s="4" t="inlineStr">
        <is>
          <t>Method</t>
        </is>
      </c>
      <c r="I17">
        <f>terminal_method</f>
        <v/>
      </c>
    </row>
    <row r="18">
      <c r="A18" s="4" t="inlineStr">
        <is>
          <t>Y5 FCFF</t>
        </is>
      </c>
      <c r="B18" s="2" t="inlineStr">
        <is>
          <t>(currency × unit)</t>
        </is>
      </c>
      <c r="I18" s="41">
        <f>Projections!H36</f>
        <v/>
      </c>
    </row>
    <row r="19">
      <c r="A19" s="4" t="inlineStr">
        <is>
          <t>Terminal value — Gordon Growth</t>
        </is>
      </c>
      <c r="B19" s="2" t="inlineStr">
        <is>
          <t>(currency × unit)</t>
        </is>
      </c>
      <c r="I19" s="41">
        <f>IFERROR(I18*(1+terminal_growth_rate)/(wacc_per_mgmt-terminal_growth_rate),0)</f>
        <v/>
      </c>
    </row>
    <row r="20">
      <c r="A20" s="4" t="inlineStr">
        <is>
          <t>Terminal value — Exit Multiple</t>
        </is>
      </c>
      <c r="B20" s="2" t="inlineStr">
        <is>
          <t>(currency × unit)</t>
        </is>
      </c>
      <c r="I20" s="41">
        <f>IF(EXACT(terminal_exit_multiple_type,"EV/EBITDA"),Projections!H15*terminal_exit_multiple_value,IF(EXACT(terminal_exit_multiple_type,"EV/Sales"),Projections!H8*terminal_exit_multiple_value,IF(EXACT(terminal_exit_multiple_type,"P/E"),Projections!H23*terminal_exit_multiple_value,0)))</f>
        <v/>
      </c>
    </row>
    <row r="21">
      <c r="A21" s="4" t="inlineStr">
        <is>
          <t>Selected terminal value</t>
        </is>
      </c>
      <c r="B21" s="2" t="inlineStr">
        <is>
          <t>(currency × unit)</t>
        </is>
      </c>
      <c r="I21" s="41">
        <f>IF(EXACT(terminal_method,"exit_multiple"),I20,I19)</f>
        <v/>
      </c>
    </row>
    <row r="22">
      <c r="A22" s="4" t="inlineStr">
        <is>
          <t>PV of terminal value</t>
        </is>
      </c>
      <c r="B22" s="2" t="inlineStr">
        <is>
          <t>(currency × unit)</t>
        </is>
      </c>
      <c r="I22" s="41">
        <f>I21*H13</f>
        <v/>
      </c>
    </row>
    <row r="24">
      <c r="A24" s="3" t="inlineStr">
        <is>
          <t>Enterprise Value</t>
        </is>
      </c>
    </row>
    <row r="25">
      <c r="A25" s="4" t="inlineStr">
        <is>
          <t>Sum of PV of explicit-period FCFF</t>
        </is>
      </c>
      <c r="I25" s="41">
        <f>SUM(D14:H14)</f>
        <v/>
      </c>
    </row>
    <row r="26">
      <c r="A26" s="4" t="inlineStr">
        <is>
          <t>+ PV of terminal value</t>
        </is>
      </c>
      <c r="I26" s="41">
        <f>I22</f>
        <v/>
      </c>
    </row>
    <row r="27">
      <c r="A27" s="43" t="inlineStr">
        <is>
          <t>Enterprise Value</t>
        </is>
      </c>
      <c r="I27" s="44">
        <f>I25+I26</f>
        <v/>
      </c>
    </row>
  </sheetData>
  <mergeCells count="6">
    <mergeCell ref="A1:H1"/>
    <mergeCell ref="A6:J6"/>
    <mergeCell ref="A2:J2"/>
    <mergeCell ref="A24:J24"/>
    <mergeCell ref="A16:J16"/>
    <mergeCell ref="A10:J1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36" customWidth="1" min="1" max="1"/>
    <col width="12"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22" customHeight="1">
      <c r="A1" s="1" t="inlineStr">
        <is>
          <t>DCF — Independent scenario</t>
        </is>
      </c>
    </row>
    <row r="2">
      <c r="A2" s="2" t="inlineStr">
        <is>
          <t>FCFF schedule from Projections, discounted at scenario WACC. Convention: full-period discounting (no stub-year partial); terminal value computed at end of Y5 and PV'd at the same Y5 discount factor.</t>
        </is>
      </c>
    </row>
    <row r="4">
      <c r="A4" s="7" t="inlineStr">
        <is>
          <t>Item</t>
        </is>
      </c>
      <c r="B4" s="7" t="inlineStr">
        <is>
          <t>Unit</t>
        </is>
      </c>
      <c r="C4" s="45" t="n"/>
      <c r="D4" s="7" t="inlineStr">
        <is>
          <t>Y1</t>
        </is>
      </c>
      <c r="E4" s="7" t="inlineStr">
        <is>
          <t>Y2</t>
        </is>
      </c>
      <c r="F4" s="7" t="inlineStr">
        <is>
          <t>Y3</t>
        </is>
      </c>
      <c r="G4" s="7" t="inlineStr">
        <is>
          <t>Y4</t>
        </is>
      </c>
      <c r="H4" s="7" t="inlineStr">
        <is>
          <t>Y5</t>
        </is>
      </c>
      <c r="I4" s="7" t="inlineStr">
        <is>
          <t>Terminal</t>
        </is>
      </c>
    </row>
    <row r="6">
      <c r="A6" s="3" t="inlineStr">
        <is>
          <t>Discount inputs</t>
        </is>
      </c>
    </row>
    <row r="7">
      <c r="A7" s="4" t="inlineStr">
        <is>
          <t>WACC (this scenario)</t>
        </is>
      </c>
      <c r="B7" s="2" t="inlineStr">
        <is>
          <t>%</t>
        </is>
      </c>
      <c r="D7" s="46">
        <f>wacc_indep</f>
        <v/>
      </c>
    </row>
    <row r="8">
      <c r="A8" s="4" t="inlineStr">
        <is>
          <t>Terminal growth rate</t>
        </is>
      </c>
      <c r="B8" s="2" t="inlineStr">
        <is>
          <t>%</t>
        </is>
      </c>
      <c r="D8" s="46">
        <f>terminal_growth_rate</f>
        <v/>
      </c>
    </row>
    <row r="10">
      <c r="A10" s="3" t="inlineStr">
        <is>
          <t>FCFF &amp; discount mechanics</t>
        </is>
      </c>
    </row>
    <row r="11">
      <c r="A11" s="4" t="inlineStr">
        <is>
          <t>FCFF</t>
        </is>
      </c>
      <c r="B11" s="2" t="inlineStr">
        <is>
          <t>(currency × unit)</t>
        </is>
      </c>
      <c r="D11" s="41">
        <f>Projections!D36</f>
        <v/>
      </c>
      <c r="E11" s="41">
        <f>Projections!E36</f>
        <v/>
      </c>
      <c r="F11" s="41">
        <f>Projections!F36</f>
        <v/>
      </c>
      <c r="G11" s="41">
        <f>Projections!G36</f>
        <v/>
      </c>
      <c r="H11" s="41">
        <f>Projections!H36</f>
        <v/>
      </c>
    </row>
    <row r="12">
      <c r="A12" s="4" t="inlineStr">
        <is>
          <t>Discount period</t>
        </is>
      </c>
      <c r="B12" s="2" t="inlineStr">
        <is>
          <t>years</t>
        </is>
      </c>
      <c r="D12" s="47" t="n">
        <v>1</v>
      </c>
      <c r="E12" s="47" t="n">
        <v>2</v>
      </c>
      <c r="F12" s="47" t="n">
        <v>3</v>
      </c>
      <c r="G12" s="47" t="n">
        <v>4</v>
      </c>
      <c r="H12" s="47" t="n">
        <v>5</v>
      </c>
    </row>
    <row r="13">
      <c r="A13" s="4" t="inlineStr">
        <is>
          <t>Discount factor</t>
        </is>
      </c>
      <c r="B13" s="2" t="inlineStr">
        <is>
          <t>x</t>
        </is>
      </c>
      <c r="D13" s="48">
        <f>1/(1+wacc_indep)^D12</f>
        <v/>
      </c>
      <c r="E13" s="48">
        <f>1/(1+wacc_indep)^E12</f>
        <v/>
      </c>
      <c r="F13" s="48">
        <f>1/(1+wacc_indep)^F12</f>
        <v/>
      </c>
      <c r="G13" s="48">
        <f>1/(1+wacc_indep)^G12</f>
        <v/>
      </c>
      <c r="H13" s="48">
        <f>1/(1+wacc_indep)^H12</f>
        <v/>
      </c>
    </row>
    <row r="14">
      <c r="A14" s="4" t="inlineStr">
        <is>
          <t>PV of FCFF</t>
        </is>
      </c>
      <c r="B14" s="2" t="inlineStr">
        <is>
          <t>(currency × unit)</t>
        </is>
      </c>
      <c r="D14" s="41">
        <f>D11*D13</f>
        <v/>
      </c>
      <c r="E14" s="41">
        <f>E11*E13</f>
        <v/>
      </c>
      <c r="F14" s="41">
        <f>F11*F13</f>
        <v/>
      </c>
      <c r="G14" s="41">
        <f>G11*G13</f>
        <v/>
      </c>
      <c r="H14" s="41">
        <f>H11*H13</f>
        <v/>
      </c>
    </row>
    <row r="16">
      <c r="A16" s="3" t="inlineStr">
        <is>
          <t>Terminal value</t>
        </is>
      </c>
    </row>
    <row r="17">
      <c r="A17" s="4" t="inlineStr">
        <is>
          <t>Method</t>
        </is>
      </c>
      <c r="I17">
        <f>terminal_method</f>
        <v/>
      </c>
    </row>
    <row r="18">
      <c r="A18" s="4" t="inlineStr">
        <is>
          <t>Y5 FCFF</t>
        </is>
      </c>
      <c r="B18" s="2" t="inlineStr">
        <is>
          <t>(currency × unit)</t>
        </is>
      </c>
      <c r="I18" s="41">
        <f>Projections!H36</f>
        <v/>
      </c>
    </row>
    <row r="19">
      <c r="A19" s="4" t="inlineStr">
        <is>
          <t>Terminal value — Gordon Growth</t>
        </is>
      </c>
      <c r="B19" s="2" t="inlineStr">
        <is>
          <t>(currency × unit)</t>
        </is>
      </c>
      <c r="I19" s="41">
        <f>IFERROR(I18*(1+terminal_growth_rate)/(wacc_indep-terminal_growth_rate),0)</f>
        <v/>
      </c>
    </row>
    <row r="20">
      <c r="A20" s="4" t="inlineStr">
        <is>
          <t>Terminal value — Exit Multiple</t>
        </is>
      </c>
      <c r="B20" s="2" t="inlineStr">
        <is>
          <t>(currency × unit)</t>
        </is>
      </c>
      <c r="I20" s="41">
        <f>IF(EXACT(terminal_exit_multiple_type,"EV/EBITDA"),Projections!H15*terminal_exit_multiple_value,IF(EXACT(terminal_exit_multiple_type,"EV/Sales"),Projections!H8*terminal_exit_multiple_value,IF(EXACT(terminal_exit_multiple_type,"P/E"),Projections!H23*terminal_exit_multiple_value,0)))</f>
        <v/>
      </c>
    </row>
    <row r="21">
      <c r="A21" s="4" t="inlineStr">
        <is>
          <t>Selected terminal value</t>
        </is>
      </c>
      <c r="B21" s="2" t="inlineStr">
        <is>
          <t>(currency × unit)</t>
        </is>
      </c>
      <c r="I21" s="41">
        <f>IF(EXACT(terminal_method,"exit_multiple"),I20,I19)</f>
        <v/>
      </c>
    </row>
    <row r="22">
      <c r="A22" s="4" t="inlineStr">
        <is>
          <t>PV of terminal value</t>
        </is>
      </c>
      <c r="B22" s="2" t="inlineStr">
        <is>
          <t>(currency × unit)</t>
        </is>
      </c>
      <c r="I22" s="41">
        <f>I21*H13</f>
        <v/>
      </c>
    </row>
    <row r="24">
      <c r="A24" s="3" t="inlineStr">
        <is>
          <t>Enterprise Value</t>
        </is>
      </c>
    </row>
    <row r="25">
      <c r="A25" s="4" t="inlineStr">
        <is>
          <t>Sum of PV of explicit-period FCFF</t>
        </is>
      </c>
      <c r="I25" s="41">
        <f>SUM(D14:H14)</f>
        <v/>
      </c>
    </row>
    <row r="26">
      <c r="A26" s="4" t="inlineStr">
        <is>
          <t>+ PV of terminal value</t>
        </is>
      </c>
      <c r="I26" s="41">
        <f>I22</f>
        <v/>
      </c>
    </row>
    <row r="27">
      <c r="A27" s="43" t="inlineStr">
        <is>
          <t>Enterprise Value</t>
        </is>
      </c>
      <c r="I27" s="44">
        <f>I25+I26</f>
        <v/>
      </c>
    </row>
  </sheetData>
  <mergeCells count="6">
    <mergeCell ref="A1:H1"/>
    <mergeCell ref="A6:J6"/>
    <mergeCell ref="A2:J2"/>
    <mergeCell ref="A24:J24"/>
    <mergeCell ref="A16:J16"/>
    <mergeCell ref="A10:J1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22" customWidth="1" min="1" max="1"/>
    <col width="18" customWidth="1" min="2" max="2"/>
    <col width="14" customWidth="1" min="3" max="3"/>
    <col width="14" customWidth="1" min="4" max="4"/>
    <col width="14" customWidth="1" min="5" max="5"/>
    <col width="16" customWidth="1" min="6" max="6"/>
    <col width="16" customWidth="1" min="7" max="7"/>
    <col width="16" customWidth="1" min="8" max="8"/>
  </cols>
  <sheetData>
    <row r="1" ht="22" customHeight="1">
      <c r="A1" s="1" t="inlineStr">
        <is>
          <t>Comps — comparable companies cross-check</t>
        </is>
      </c>
    </row>
    <row r="2">
      <c r="A2" s="2" t="inlineStr">
        <is>
          <t>Apply CoCo NTM trading multiples to target Y1 metrics. Implied EV from EV/Sales × Revenue and EV/EBITDA × EBITDA cross-check the DCF. P/E × Net Income gives implied Equity (bridge to EV via surplus/net debt).</t>
        </is>
      </c>
    </row>
    <row r="4">
      <c r="A4" s="21" t="inlineStr">
        <is>
          <t>Multiple</t>
        </is>
      </c>
      <c r="B4" s="21" t="inlineStr">
        <is>
          <t>Target metric (Y1)</t>
        </is>
      </c>
      <c r="C4" s="21" t="inlineStr">
        <is>
          <t>CoCo Q1</t>
        </is>
      </c>
      <c r="D4" s="21" t="inlineStr">
        <is>
          <t>CoCo Median</t>
        </is>
      </c>
      <c r="E4" s="21" t="inlineStr">
        <is>
          <t>CoCo Q3</t>
        </is>
      </c>
      <c r="F4" s="21" t="inlineStr">
        <is>
          <t>Implied (low)</t>
        </is>
      </c>
      <c r="G4" s="21" t="inlineStr">
        <is>
          <t>Implied (mid)</t>
        </is>
      </c>
      <c r="H4" s="21" t="inlineStr">
        <is>
          <t>Implied (high)</t>
        </is>
      </c>
    </row>
    <row r="6">
      <c r="A6" s="3" t="inlineStr">
        <is>
          <t>NTM-based multiples (applied to Y1)</t>
        </is>
      </c>
    </row>
    <row r="7">
      <c r="A7" s="4" t="inlineStr">
        <is>
          <t>EV/Sales NTM</t>
        </is>
      </c>
      <c r="B7" s="40">
        <f>Projections!D8</f>
        <v/>
      </c>
      <c r="C7" s="49">
        <f>'CoCo Multiples'!F41</f>
        <v/>
      </c>
      <c r="D7" s="49">
        <f>'CoCo Multiples'!F39</f>
        <v/>
      </c>
      <c r="E7" s="49">
        <f>'CoCo Multiples'!F38</f>
        <v/>
      </c>
      <c r="F7" s="40">
        <f>IFERROR(B7*C7,"n/a")</f>
        <v/>
      </c>
      <c r="G7" s="40">
        <f>IFERROR(B7*D7,"n/a")</f>
        <v/>
      </c>
      <c r="H7" s="40">
        <f>IFERROR(B7*E7,"n/a")</f>
        <v/>
      </c>
    </row>
    <row r="8">
      <c r="A8" s="4" t="inlineStr">
        <is>
          <t>EV/EBITDA NTM</t>
        </is>
      </c>
      <c r="B8" s="40">
        <f>Projections!D15</f>
        <v/>
      </c>
      <c r="C8" s="50">
        <f>'CoCo Multiples'!H41</f>
        <v/>
      </c>
      <c r="D8" s="50">
        <f>'CoCo Multiples'!H39</f>
        <v/>
      </c>
      <c r="E8" s="50">
        <f>'CoCo Multiples'!H38</f>
        <v/>
      </c>
      <c r="F8" s="40">
        <f>IFERROR(B8*C8,"n/a")</f>
        <v/>
      </c>
      <c r="G8" s="40">
        <f>IFERROR(B8*D8,"n/a")</f>
        <v/>
      </c>
      <c r="H8" s="40">
        <f>IFERROR(B8*E8,"n/a")</f>
        <v/>
      </c>
    </row>
    <row r="9">
      <c r="A9" s="4" t="inlineStr">
        <is>
          <t>P/E NTM (gives Equity)</t>
        </is>
      </c>
      <c r="B9" s="40">
        <f>Projections!D23</f>
        <v/>
      </c>
      <c r="C9" s="50">
        <f>'CoCo Multiples'!J41</f>
        <v/>
      </c>
      <c r="D9" s="50">
        <f>'CoCo Multiples'!J39</f>
        <v/>
      </c>
      <c r="E9" s="50">
        <f>'CoCo Multiples'!J38</f>
        <v/>
      </c>
      <c r="F9" s="40">
        <f>IFERROR(B9*C9,"n/a")</f>
        <v/>
      </c>
      <c r="G9" s="40">
        <f>IFERROR(B9*D9,"n/a")</f>
        <v/>
      </c>
      <c r="H9" s="40">
        <f>IFERROR(B9*E9,"n/a")</f>
        <v/>
      </c>
    </row>
    <row r="11">
      <c r="A11" s="3" t="inlineStr">
        <is>
          <t>LTM-based multiples (not wired in v1 — needs Historical FS link)</t>
        </is>
      </c>
    </row>
    <row r="12">
      <c r="A12" s="2" t="inlineStr">
        <is>
          <t>TODO: when Historical FS sheet is built, wire LTM target metrics here and apply 'CoCo Multiples'!E/G/I (LTM) columns.</t>
        </is>
      </c>
    </row>
    <row r="14">
      <c r="A14" s="3" t="inlineStr">
        <is>
          <t>Cross-check summary — DCF vs CoCo-implied</t>
        </is>
      </c>
    </row>
    <row r="15">
      <c r="A15" s="43" t="inlineStr">
        <is>
          <t>DCF EV — Per Management</t>
        </is>
      </c>
      <c r="B15" s="51">
        <f>'DCF'!I27</f>
        <v/>
      </c>
    </row>
    <row r="16">
      <c r="A16" s="43" t="inlineStr">
        <is>
          <t>DCF EV — Independent</t>
        </is>
      </c>
      <c r="B16" s="51">
        <f>'DCF (Independent)'!I27</f>
        <v/>
      </c>
    </row>
    <row r="17">
      <c r="A17" s="4" t="inlineStr">
        <is>
          <t>CoCo-implied EV — EV/Sales NTM (Median)</t>
        </is>
      </c>
      <c r="B17" s="40">
        <f>G7</f>
        <v/>
      </c>
    </row>
    <row r="18">
      <c r="A18" s="4" t="inlineStr">
        <is>
          <t>CoCo-implied EV — EV/EBITDA NTM (Median)</t>
        </is>
      </c>
      <c r="B18" s="40">
        <f>G8</f>
        <v/>
      </c>
    </row>
    <row r="19">
      <c r="A19" s="4" t="inlineStr">
        <is>
          <t>CoCo-implied Equity — P/E NTM (Median)</t>
        </is>
      </c>
      <c r="B19" s="40">
        <f>G9</f>
        <v/>
      </c>
    </row>
    <row r="20">
      <c r="A20" s="4" t="inlineStr">
        <is>
          <t>CoCo-implied EV — P/E NTM (bridged from Equity)</t>
        </is>
      </c>
      <c r="B20" s="40">
        <f>G9-surplus_assets-non_operating_assets+IF(ISNUMBER(net_debt_override),net_debt_override,0)+minority_interests</f>
        <v/>
      </c>
    </row>
    <row r="21">
      <c r="A21" s="43" t="inlineStr">
        <is>
          <t>Mean of CoCo-implied EVs (Sales + EBITDA + P/E)</t>
        </is>
      </c>
      <c r="B21" s="51">
        <f>AVERAGE(B17,B18,B20)</f>
        <v/>
      </c>
    </row>
  </sheetData>
  <mergeCells count="6">
    <mergeCell ref="A12:H12"/>
    <mergeCell ref="A2:H2"/>
    <mergeCell ref="A11:H11"/>
    <mergeCell ref="A14:H14"/>
    <mergeCell ref="A1:H1"/>
    <mergeCell ref="A6:H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6" customWidth="1" min="1" max="1"/>
    <col width="14" customWidth="1" min="2" max="2"/>
    <col width="14" customWidth="1" min="3" max="3"/>
    <col width="14" customWidth="1" min="4" max="4"/>
    <col width="10" customWidth="1" min="5" max="5"/>
    <col width="14" customWidth="1" min="6" max="6"/>
    <col width="30" customWidth="1" min="7" max="7"/>
  </cols>
  <sheetData>
    <row r="1" ht="22" customHeight="1">
      <c r="A1" s="1" t="inlineStr">
        <is>
          <t>Football Field — methodology range reconciliation</t>
        </is>
      </c>
    </row>
    <row r="2">
      <c r="A2" s="2" t="inlineStr">
        <is>
          <t>Range chart input. DCF range comes from the two WACC scenarios. Comps range from CoCo Q1/Median/Q3. Precedent range from precedents_table (when populated). Apply football_field weights to compute weighted-average EV.</t>
        </is>
      </c>
    </row>
    <row r="4">
      <c r="A4" s="7" t="inlineStr">
        <is>
          <t>Methodology</t>
        </is>
      </c>
      <c r="B4" s="7" t="inlineStr">
        <is>
          <t>Low</t>
        </is>
      </c>
      <c r="C4" s="7" t="inlineStr">
        <is>
          <t>Mid</t>
        </is>
      </c>
      <c r="D4" s="7" t="inlineStr">
        <is>
          <t>High</t>
        </is>
      </c>
      <c r="E4" s="7" t="inlineStr">
        <is>
          <t>Weight</t>
        </is>
      </c>
      <c r="F4" s="7" t="inlineStr">
        <is>
          <t>Weighted Mid</t>
        </is>
      </c>
      <c r="G4" s="7" t="inlineStr">
        <is>
          <t>Notes</t>
        </is>
      </c>
    </row>
    <row r="6">
      <c r="A6" s="3" t="inlineStr">
        <is>
          <t>Methodology ranges (EV in currency × unit)</t>
        </is>
      </c>
    </row>
    <row r="7">
      <c r="A7" s="52" t="inlineStr">
        <is>
          <t>DCF (across scenarios)</t>
        </is>
      </c>
      <c r="B7" s="40">
        <f>MIN('DCF'!I27,'DCF (Independent)'!I27)</f>
        <v/>
      </c>
      <c r="C7" s="40">
        <f>AVERAGE('DCF'!I27,'DCF (Independent)'!I27)</f>
        <v/>
      </c>
      <c r="D7" s="40">
        <f>MAX('DCF'!I27,'DCF (Independent)'!I27)</f>
        <v/>
      </c>
      <c r="E7" s="53">
        <f>weight_dcf</f>
        <v/>
      </c>
      <c r="F7" s="40">
        <f>C7*E7</f>
        <v/>
      </c>
      <c r="G7" s="34" t="inlineStr">
        <is>
          <t>Low = Per-Mgmt vs Indep min; High = max; Mid = average</t>
        </is>
      </c>
    </row>
    <row r="8">
      <c r="A8" s="22" t="inlineStr">
        <is>
          <t xml:space="preserve">  Comps — EV/Sales NTM</t>
        </is>
      </c>
      <c r="B8" s="40">
        <f>Comps!F7</f>
        <v/>
      </c>
      <c r="C8" s="40">
        <f>Comps!G7</f>
        <v/>
      </c>
      <c r="D8" s="40">
        <f>Comps!H7</f>
        <v/>
      </c>
      <c r="E8" s="33" t="n"/>
      <c r="F8" s="33" t="n"/>
      <c r="G8" s="34" t="inlineStr">
        <is>
          <t>Reference; weighted via combined Comps row below</t>
        </is>
      </c>
    </row>
    <row r="9">
      <c r="A9" s="22" t="inlineStr">
        <is>
          <t xml:space="preserve">  Comps — EV/EBITDA NTM</t>
        </is>
      </c>
      <c r="B9" s="40">
        <f>Comps!F8</f>
        <v/>
      </c>
      <c r="C9" s="40">
        <f>Comps!G8</f>
        <v/>
      </c>
      <c r="D9" s="40">
        <f>Comps!H8</f>
        <v/>
      </c>
      <c r="E9" s="33" t="n"/>
      <c r="F9" s="33" t="n"/>
      <c r="G9" s="34" t="inlineStr">
        <is>
          <t>Reference</t>
        </is>
      </c>
    </row>
    <row r="10">
      <c r="A10" s="22" t="inlineStr">
        <is>
          <t xml:space="preserve">  Comps — P/E NTM (EV after bridge)</t>
        </is>
      </c>
      <c r="B10" s="40">
        <f>Comps!F9-surplus_assets-non_operating_assets+IF(ISNUMBER(net_debt_override),net_debt_override,0)+minority_interests</f>
        <v/>
      </c>
      <c r="C10" s="40">
        <f>Comps!G9-surplus_assets-non_operating_assets+IF(ISNUMBER(net_debt_override),net_debt_override,0)+minority_interests</f>
        <v/>
      </c>
      <c r="D10" s="40">
        <f>Comps!H9-surplus_assets-non_operating_assets+IF(ISNUMBER(net_debt_override),net_debt_override,0)+minority_interests</f>
        <v/>
      </c>
      <c r="E10" s="33" t="n"/>
      <c r="F10" s="33" t="n"/>
      <c r="G10" s="34" t="inlineStr">
        <is>
          <t>Reference; bridged from Equity</t>
        </is>
      </c>
    </row>
    <row r="11">
      <c r="A11" s="52" t="inlineStr">
        <is>
          <t>Comps — combined (mean of 3 methodologies)</t>
        </is>
      </c>
      <c r="B11" s="40">
        <f>MIN(C8,C9,C10)</f>
        <v/>
      </c>
      <c r="C11" s="40">
        <f>AVERAGE(C8,C9,C10)</f>
        <v/>
      </c>
      <c r="D11" s="40">
        <f>MAX(C8,C9,C10)</f>
        <v/>
      </c>
      <c r="E11" s="53">
        <f>weight_comps</f>
        <v/>
      </c>
      <c r="F11" s="40">
        <f>C11*E11</f>
        <v/>
      </c>
      <c r="G11" s="34" t="inlineStr">
        <is>
          <t>Low/High across the 3 mids; Mid is mean</t>
        </is>
      </c>
    </row>
    <row r="12">
      <c r="A12" s="52" t="inlineStr">
        <is>
          <t>Precedent transactions</t>
        </is>
      </c>
      <c r="B12" s="40">
        <f>IFERROR(MIN(IF(INDEX(precedents_table,0,1)=TRUE,INDEX(precedents_table,0,7)*Projections!D15,"")),0)</f>
        <v/>
      </c>
      <c r="C12" s="40">
        <f>IFERROR(AVERAGEIFS(INDEX(precedents_table,0,7),INDEX(precedents_table,0,1),TRUE)*Projections!D15,0)</f>
        <v/>
      </c>
      <c r="D12" s="40">
        <f>IFERROR(MAX(IF(INDEX(precedents_table,0,1)=TRUE,INDEX(precedents_table,0,7)*Projections!D15,"")),0)</f>
        <v/>
      </c>
      <c r="E12" s="53">
        <f>weight_precedent</f>
        <v/>
      </c>
      <c r="F12" s="40">
        <f>C12*E12</f>
        <v/>
      </c>
      <c r="G12" s="34" t="inlineStr">
        <is>
          <t>Mean EV/EBITDA × Y1 EBITDA across included precedents</t>
        </is>
      </c>
    </row>
    <row r="14">
      <c r="A14" s="3" t="inlineStr">
        <is>
          <t>Weighted-average valuation</t>
        </is>
      </c>
    </row>
    <row r="15">
      <c r="A15" s="4" t="inlineStr">
        <is>
          <t>Total weight applied</t>
        </is>
      </c>
      <c r="E15" s="42">
        <f>E7+E11+E12</f>
        <v/>
      </c>
    </row>
    <row r="16">
      <c r="A16" s="43" t="inlineStr">
        <is>
          <t>Weighted-average EV (calculated)</t>
        </is>
      </c>
      <c r="F16" s="44">
        <f>IFERROR((F7+F11+F12)/E15,0)</f>
        <v/>
      </c>
    </row>
    <row r="17">
      <c r="A17" s="3" t="inlineStr">
        <is>
          <t>Selected valuation (manual override)</t>
        </is>
      </c>
    </row>
    <row r="18">
      <c r="A18" s="22" t="inlineStr">
        <is>
          <t>Selected low</t>
        </is>
      </c>
      <c r="B18" s="40">
        <f>selected_low</f>
        <v/>
      </c>
      <c r="C18" s="33" t="n"/>
      <c r="D18" s="33" t="n"/>
      <c r="E18" s="33" t="n"/>
      <c r="F18" s="33" t="n"/>
      <c r="G18" s="33" t="n"/>
    </row>
    <row r="19">
      <c r="A19" s="22" t="inlineStr">
        <is>
          <t>Selected mid</t>
        </is>
      </c>
      <c r="B19" s="33" t="n"/>
      <c r="C19" s="40">
        <f>selected_mid</f>
        <v/>
      </c>
      <c r="D19" s="33" t="n"/>
      <c r="E19" s="33" t="n"/>
      <c r="F19" s="33" t="n"/>
      <c r="G19" s="33" t="n"/>
    </row>
    <row r="20">
      <c r="A20" s="22" t="inlineStr">
        <is>
          <t>Selected high</t>
        </is>
      </c>
      <c r="B20" s="33" t="n"/>
      <c r="C20" s="33" t="n"/>
      <c r="D20" s="40">
        <f>selected_high</f>
        <v/>
      </c>
      <c r="E20" s="33" t="n"/>
      <c r="F20" s="33" t="n"/>
      <c r="G20" s="33" t="n"/>
    </row>
  </sheetData>
  <mergeCells count="5">
    <mergeCell ref="A14:G14"/>
    <mergeCell ref="A17:G17"/>
    <mergeCell ref="A6:G6"/>
    <mergeCell ref="A2:G2"/>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0" customWidth="1" min="1" max="1"/>
    <col width="4" customWidth="1" min="2" max="2"/>
    <col width="12" customWidth="1" min="3" max="3"/>
    <col width="4" customWidth="1" min="4" max="4"/>
    <col width="18" customWidth="1" min="5" max="5"/>
    <col width="18" customWidth="1" min="6" max="6"/>
  </cols>
  <sheetData>
    <row r="1" ht="22" customHeight="1">
      <c r="A1" s="1" t="inlineStr">
        <is>
          <t>WACC — discount rate build-up</t>
        </is>
      </c>
    </row>
    <row r="2">
      <c r="A2" s="2" t="inlineStr">
        <is>
          <t>Two scenarios. Inputs (Rf, ERP, country premium) shared; beta / D/E / size / specific / Kd are scenario-specific. Calculated outputs (levered beta, Ke, after-tax Kd, WACC) cycle back to the Inputs sheet.</t>
        </is>
      </c>
    </row>
    <row r="4">
      <c r="A4" s="7" t="inlineStr">
        <is>
          <t>Component</t>
        </is>
      </c>
      <c r="B4" s="7" t="inlineStr"/>
      <c r="C4" s="7" t="inlineStr">
        <is>
          <t>Type</t>
        </is>
      </c>
      <c r="D4" s="7" t="inlineStr"/>
      <c r="E4" s="7" t="inlineStr">
        <is>
          <t>Per Management</t>
        </is>
      </c>
      <c r="F4" s="7" t="inlineStr">
        <is>
          <t>Independent</t>
        </is>
      </c>
    </row>
    <row r="6">
      <c r="A6" s="3" t="inlineStr">
        <is>
          <t>Cost of Equity (Ke)</t>
        </is>
      </c>
    </row>
    <row r="7">
      <c r="A7" s="4" t="inlineStr">
        <is>
          <t>Effective tax rate</t>
        </is>
      </c>
      <c r="C7" s="2" t="inlineStr">
        <is>
          <t>%</t>
        </is>
      </c>
      <c r="E7" s="54">
        <f>IF(ISNUMBER(tax_effective_rate),tax_effective_rate,tax_rate_high)</f>
        <v/>
      </c>
      <c r="F7" s="54">
        <f>IF(ISNUMBER(tax_effective_rate),tax_effective_rate,tax_rate_high)</f>
        <v/>
      </c>
    </row>
    <row r="8">
      <c r="A8" s="4" t="inlineStr">
        <is>
          <t>Unlevered beta</t>
        </is>
      </c>
      <c r="C8" s="2" t="inlineStr">
        <is>
          <t>x</t>
        </is>
      </c>
      <c r="E8" s="55">
        <f>unlevered_beta_per_mgmt</f>
        <v/>
      </c>
      <c r="F8" s="55">
        <f>unlevered_beta_indep</f>
        <v/>
      </c>
    </row>
    <row r="9">
      <c r="A9" s="4" t="inlineStr">
        <is>
          <t>D/E ratio</t>
        </is>
      </c>
      <c r="C9" s="2" t="inlineStr">
        <is>
          <t>%</t>
        </is>
      </c>
      <c r="E9" s="54">
        <f>target_debt_to_equity_per_mgmt</f>
        <v/>
      </c>
      <c r="F9" s="54">
        <f>target_debt_to_equity_indep</f>
        <v/>
      </c>
    </row>
    <row r="10">
      <c r="A10" s="4" t="inlineStr">
        <is>
          <t>Levered beta (calc)</t>
        </is>
      </c>
      <c r="C10" s="2" t="inlineStr">
        <is>
          <t>x</t>
        </is>
      </c>
      <c r="E10" s="55">
        <f>E8*(1+(1-E7)*E9)</f>
        <v/>
      </c>
      <c r="F10" s="55">
        <f>F8*(1+(1-F7)*F9)</f>
        <v/>
      </c>
    </row>
    <row r="11">
      <c r="A11" s="4" t="inlineStr">
        <is>
          <t>Risk-free rate</t>
        </is>
      </c>
      <c r="C11" s="2" t="inlineStr">
        <is>
          <t>%</t>
        </is>
      </c>
      <c r="E11" s="54">
        <f>risk_free_rate</f>
        <v/>
      </c>
      <c r="F11" s="54">
        <f>risk_free_rate</f>
        <v/>
      </c>
    </row>
    <row r="12">
      <c r="A12" s="4" t="inlineStr">
        <is>
          <t>Equity risk premium (ERP)</t>
        </is>
      </c>
      <c r="C12" s="2" t="inlineStr">
        <is>
          <t>%</t>
        </is>
      </c>
      <c r="E12" s="54">
        <f>equity_risk_premium</f>
        <v/>
      </c>
      <c r="F12" s="54">
        <f>equity_risk_premium</f>
        <v/>
      </c>
    </row>
    <row r="13">
      <c r="A13" s="4" t="inlineStr">
        <is>
          <t>Country risk premium</t>
        </is>
      </c>
      <c r="C13" s="2" t="inlineStr">
        <is>
          <t>%</t>
        </is>
      </c>
      <c r="E13" s="54">
        <f>country_risk_premium</f>
        <v/>
      </c>
      <c r="F13" s="54">
        <f>country_risk_premium</f>
        <v/>
      </c>
    </row>
    <row r="14">
      <c r="A14" s="4" t="inlineStr">
        <is>
          <t>Size premium</t>
        </is>
      </c>
      <c r="C14" s="2" t="inlineStr">
        <is>
          <t>%</t>
        </is>
      </c>
      <c r="E14" s="54">
        <f>size_premium_per_mgmt</f>
        <v/>
      </c>
      <c r="F14" s="54">
        <f>size_premium_indep</f>
        <v/>
      </c>
    </row>
    <row r="15">
      <c r="A15" s="4" t="inlineStr">
        <is>
          <t>Specific risk premium</t>
        </is>
      </c>
      <c r="C15" s="2" t="inlineStr">
        <is>
          <t>%</t>
        </is>
      </c>
      <c r="E15" s="54">
        <f>specific_risk_premium_per_mgmt</f>
        <v/>
      </c>
      <c r="F15" s="54">
        <f>specific_risk_premium_indep</f>
        <v/>
      </c>
    </row>
    <row r="16">
      <c r="A16" s="43" t="inlineStr">
        <is>
          <t>Cost of Equity (calc)</t>
        </is>
      </c>
      <c r="C16" s="2" t="inlineStr">
        <is>
          <t>%</t>
        </is>
      </c>
      <c r="E16" s="54">
        <f>E11+E10*E12+E13+E14+E15</f>
        <v/>
      </c>
      <c r="F16" s="54">
        <f>F11+F10*F12+F13+F14+F15</f>
        <v/>
      </c>
    </row>
    <row r="18">
      <c r="A18" s="3" t="inlineStr">
        <is>
          <t>Cost of Debt (Kd)</t>
        </is>
      </c>
    </row>
    <row r="19">
      <c r="A19" s="4" t="inlineStr">
        <is>
          <t>Pre-tax cost of debt</t>
        </is>
      </c>
      <c r="C19" s="2" t="inlineStr">
        <is>
          <t>%</t>
        </is>
      </c>
      <c r="E19" s="54">
        <f>pretax_cost_of_debt_per_mgmt</f>
        <v/>
      </c>
      <c r="F19" s="54">
        <f>pretax_cost_of_debt_indep</f>
        <v/>
      </c>
    </row>
    <row r="20">
      <c r="A20" s="43" t="inlineStr">
        <is>
          <t>After-tax cost of debt (calc)</t>
        </is>
      </c>
      <c r="C20" s="2" t="inlineStr">
        <is>
          <t>%</t>
        </is>
      </c>
      <c r="E20" s="54">
        <f>E19*(1-E7)</f>
        <v/>
      </c>
      <c r="F20" s="54">
        <f>F19*(1-F7)</f>
        <v/>
      </c>
    </row>
    <row r="22">
      <c r="A22" s="3" t="inlineStr">
        <is>
          <t>Capital structure &amp; WACC</t>
        </is>
      </c>
    </row>
    <row r="23">
      <c r="A23" s="4" t="inlineStr">
        <is>
          <t>D/V (debt weight)</t>
        </is>
      </c>
      <c r="C23" s="2" t="inlineStr">
        <is>
          <t>%</t>
        </is>
      </c>
      <c r="E23" s="54">
        <f>target_debt_weight_per_mgmt</f>
        <v/>
      </c>
      <c r="F23" s="54">
        <f>target_debt_weight_indep</f>
        <v/>
      </c>
    </row>
    <row r="24">
      <c r="A24" s="4" t="inlineStr">
        <is>
          <t>E/V (equity weight)</t>
        </is>
      </c>
      <c r="C24" s="2" t="inlineStr">
        <is>
          <t>%</t>
        </is>
      </c>
      <c r="E24" s="54">
        <f>target_equity_weight_per_mgmt</f>
        <v/>
      </c>
      <c r="F24" s="54">
        <f>target_equity_weight_indep</f>
        <v/>
      </c>
    </row>
    <row r="25">
      <c r="A25" s="43" t="inlineStr">
        <is>
          <t>WACC (calc)</t>
        </is>
      </c>
      <c r="C25" s="2" t="inlineStr">
        <is>
          <t>%</t>
        </is>
      </c>
      <c r="E25" s="54">
        <f>E16*E24+E20*E23</f>
        <v/>
      </c>
      <c r="F25" s="54">
        <f>F16*F24+F20*F23</f>
        <v/>
      </c>
    </row>
  </sheetData>
  <mergeCells count="5">
    <mergeCell ref="A2:F2"/>
    <mergeCell ref="A6:F6"/>
    <mergeCell ref="A22:F22"/>
    <mergeCell ref="A18:F18"/>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35"/>
  <sheetViews>
    <sheetView workbookViewId="0">
      <selection activeCell="A1" sqref="A1"/>
    </sheetView>
  </sheetViews>
  <sheetFormatPr baseColWidth="8" defaultRowHeight="15"/>
  <cols>
    <col width="14" customWidth="1" min="1" max="1"/>
    <col width="14" customWidth="1" min="2" max="2"/>
    <col width="24" customWidth="1" min="3" max="3"/>
    <col width="14" customWidth="1" min="4" max="4"/>
    <col width="40"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ht="22" customHeight="1">
      <c r="A1" s="1" t="inlineStr">
        <is>
          <t>CoCo Selection — comparable companies</t>
        </is>
      </c>
    </row>
    <row r="2">
      <c r="A2" s="2" t="inlineStr">
        <is>
          <t>Mirror view of the comparable companies table on the Inputs sheet. Edit values on Inputs; this sheet refreshes automatically.</t>
        </is>
      </c>
    </row>
    <row r="4">
      <c r="A4" s="21" t="inlineStr">
        <is>
          <t>Tier</t>
        </is>
      </c>
      <c r="B4" s="21" t="inlineStr">
        <is>
          <t>Include</t>
        </is>
      </c>
      <c r="C4" s="21" t="inlineStr">
        <is>
          <t>Company</t>
        </is>
      </c>
      <c r="D4" s="21" t="inlineStr">
        <is>
          <t>Ticker</t>
        </is>
      </c>
      <c r="E4" s="21" t="inlineStr">
        <is>
          <t>Business description</t>
        </is>
      </c>
      <c r="F4" s="21" t="inlineStr">
        <is>
          <t>Country</t>
        </is>
      </c>
      <c r="G4" s="21" t="inlineStr">
        <is>
          <t>Accounting standard</t>
        </is>
      </c>
      <c r="H4" s="21" t="inlineStr">
        <is>
          <t>Market cap (USD mm)</t>
        </is>
      </c>
      <c r="I4" s="21" t="inlineStr">
        <is>
          <t>D/E ratio</t>
        </is>
      </c>
      <c r="J4" s="21" t="inlineStr">
        <is>
          <t>Raw levered beta</t>
        </is>
      </c>
      <c r="K4" s="21" t="inlineStr">
        <is>
          <t>Effective tax rate</t>
        </is>
      </c>
      <c r="L4" s="21" t="inlineStr">
        <is>
          <t>Unlevered beta (calculated)</t>
        </is>
      </c>
    </row>
    <row r="6">
      <c r="A6" s="33">
        <f>Inputs!A127</f>
        <v/>
      </c>
      <c r="B6" s="33">
        <f>Inputs!B127</f>
        <v/>
      </c>
      <c r="C6" s="33">
        <f>Inputs!C127</f>
        <v/>
      </c>
      <c r="D6" s="33">
        <f>Inputs!D127</f>
        <v/>
      </c>
      <c r="E6" s="33">
        <f>Inputs!E127</f>
        <v/>
      </c>
      <c r="F6" s="33">
        <f>Inputs!F127</f>
        <v/>
      </c>
      <c r="G6" s="33">
        <f>Inputs!G127</f>
        <v/>
      </c>
      <c r="H6" s="33">
        <f>Inputs!H127</f>
        <v/>
      </c>
      <c r="I6" s="33">
        <f>Inputs!I127</f>
        <v/>
      </c>
      <c r="J6" s="33">
        <f>Inputs!J127</f>
        <v/>
      </c>
      <c r="K6" s="33">
        <f>Inputs!K127</f>
        <v/>
      </c>
      <c r="L6" s="33">
        <f>IFERROR(Inputs!J127/(1+(1-Inputs!K127)*Inputs!I127),"")</f>
        <v/>
      </c>
    </row>
    <row r="7">
      <c r="A7" s="33">
        <f>Inputs!A128</f>
        <v/>
      </c>
      <c r="B7" s="33">
        <f>Inputs!B128</f>
        <v/>
      </c>
      <c r="C7" s="33">
        <f>Inputs!C128</f>
        <v/>
      </c>
      <c r="D7" s="33">
        <f>Inputs!D128</f>
        <v/>
      </c>
      <c r="E7" s="33">
        <f>Inputs!E128</f>
        <v/>
      </c>
      <c r="F7" s="33">
        <f>Inputs!F128</f>
        <v/>
      </c>
      <c r="G7" s="33">
        <f>Inputs!G128</f>
        <v/>
      </c>
      <c r="H7" s="33">
        <f>Inputs!H128</f>
        <v/>
      </c>
      <c r="I7" s="33">
        <f>Inputs!I128</f>
        <v/>
      </c>
      <c r="J7" s="33">
        <f>Inputs!J128</f>
        <v/>
      </c>
      <c r="K7" s="33">
        <f>Inputs!K128</f>
        <v/>
      </c>
      <c r="L7" s="33">
        <f>IFERROR(Inputs!J128/(1+(1-Inputs!K128)*Inputs!I128),"")</f>
        <v/>
      </c>
    </row>
    <row r="8">
      <c r="A8" s="33">
        <f>Inputs!A129</f>
        <v/>
      </c>
      <c r="B8" s="33">
        <f>Inputs!B129</f>
        <v/>
      </c>
      <c r="C8" s="33">
        <f>Inputs!C129</f>
        <v/>
      </c>
      <c r="D8" s="33">
        <f>Inputs!D129</f>
        <v/>
      </c>
      <c r="E8" s="33">
        <f>Inputs!E129</f>
        <v/>
      </c>
      <c r="F8" s="33">
        <f>Inputs!F129</f>
        <v/>
      </c>
      <c r="G8" s="33">
        <f>Inputs!G129</f>
        <v/>
      </c>
      <c r="H8" s="33">
        <f>Inputs!H129</f>
        <v/>
      </c>
      <c r="I8" s="33">
        <f>Inputs!I129</f>
        <v/>
      </c>
      <c r="J8" s="33">
        <f>Inputs!J129</f>
        <v/>
      </c>
      <c r="K8" s="33">
        <f>Inputs!K129</f>
        <v/>
      </c>
      <c r="L8" s="33">
        <f>IFERROR(Inputs!J129/(1+(1-Inputs!K129)*Inputs!I129),"")</f>
        <v/>
      </c>
    </row>
    <row r="9">
      <c r="A9" s="33">
        <f>Inputs!A130</f>
        <v/>
      </c>
      <c r="B9" s="33">
        <f>Inputs!B130</f>
        <v/>
      </c>
      <c r="C9" s="33">
        <f>Inputs!C130</f>
        <v/>
      </c>
      <c r="D9" s="33">
        <f>Inputs!D130</f>
        <v/>
      </c>
      <c r="E9" s="33">
        <f>Inputs!E130</f>
        <v/>
      </c>
      <c r="F9" s="33">
        <f>Inputs!F130</f>
        <v/>
      </c>
      <c r="G9" s="33">
        <f>Inputs!G130</f>
        <v/>
      </c>
      <c r="H9" s="33">
        <f>Inputs!H130</f>
        <v/>
      </c>
      <c r="I9" s="33">
        <f>Inputs!I130</f>
        <v/>
      </c>
      <c r="J9" s="33">
        <f>Inputs!J130</f>
        <v/>
      </c>
      <c r="K9" s="33">
        <f>Inputs!K130</f>
        <v/>
      </c>
      <c r="L9" s="33">
        <f>IFERROR(Inputs!J130/(1+(1-Inputs!K130)*Inputs!I130),"")</f>
        <v/>
      </c>
    </row>
    <row r="10">
      <c r="A10" s="33">
        <f>Inputs!A131</f>
        <v/>
      </c>
      <c r="B10" s="33">
        <f>Inputs!B131</f>
        <v/>
      </c>
      <c r="C10" s="33">
        <f>Inputs!C131</f>
        <v/>
      </c>
      <c r="D10" s="33">
        <f>Inputs!D131</f>
        <v/>
      </c>
      <c r="E10" s="33">
        <f>Inputs!E131</f>
        <v/>
      </c>
      <c r="F10" s="33">
        <f>Inputs!F131</f>
        <v/>
      </c>
      <c r="G10" s="33">
        <f>Inputs!G131</f>
        <v/>
      </c>
      <c r="H10" s="33">
        <f>Inputs!H131</f>
        <v/>
      </c>
      <c r="I10" s="33">
        <f>Inputs!I131</f>
        <v/>
      </c>
      <c r="J10" s="33">
        <f>Inputs!J131</f>
        <v/>
      </c>
      <c r="K10" s="33">
        <f>Inputs!K131</f>
        <v/>
      </c>
      <c r="L10" s="33">
        <f>IFERROR(Inputs!J131/(1+(1-Inputs!K131)*Inputs!I131),"")</f>
        <v/>
      </c>
    </row>
    <row r="11">
      <c r="A11" s="33">
        <f>Inputs!A132</f>
        <v/>
      </c>
      <c r="B11" s="33">
        <f>Inputs!B132</f>
        <v/>
      </c>
      <c r="C11" s="33">
        <f>Inputs!C132</f>
        <v/>
      </c>
      <c r="D11" s="33">
        <f>Inputs!D132</f>
        <v/>
      </c>
      <c r="E11" s="33">
        <f>Inputs!E132</f>
        <v/>
      </c>
      <c r="F11" s="33">
        <f>Inputs!F132</f>
        <v/>
      </c>
      <c r="G11" s="33">
        <f>Inputs!G132</f>
        <v/>
      </c>
      <c r="H11" s="33">
        <f>Inputs!H132</f>
        <v/>
      </c>
      <c r="I11" s="33">
        <f>Inputs!I132</f>
        <v/>
      </c>
      <c r="J11" s="33">
        <f>Inputs!J132</f>
        <v/>
      </c>
      <c r="K11" s="33">
        <f>Inputs!K132</f>
        <v/>
      </c>
      <c r="L11" s="33">
        <f>IFERROR(Inputs!J132/(1+(1-Inputs!K132)*Inputs!I132),"")</f>
        <v/>
      </c>
    </row>
    <row r="12">
      <c r="A12" s="33">
        <f>Inputs!A133</f>
        <v/>
      </c>
      <c r="B12" s="33">
        <f>Inputs!B133</f>
        <v/>
      </c>
      <c r="C12" s="33">
        <f>Inputs!C133</f>
        <v/>
      </c>
      <c r="D12" s="33">
        <f>Inputs!D133</f>
        <v/>
      </c>
      <c r="E12" s="33">
        <f>Inputs!E133</f>
        <v/>
      </c>
      <c r="F12" s="33">
        <f>Inputs!F133</f>
        <v/>
      </c>
      <c r="G12" s="33">
        <f>Inputs!G133</f>
        <v/>
      </c>
      <c r="H12" s="33">
        <f>Inputs!H133</f>
        <v/>
      </c>
      <c r="I12" s="33">
        <f>Inputs!I133</f>
        <v/>
      </c>
      <c r="J12" s="33">
        <f>Inputs!J133</f>
        <v/>
      </c>
      <c r="K12" s="33">
        <f>Inputs!K133</f>
        <v/>
      </c>
      <c r="L12" s="33">
        <f>IFERROR(Inputs!J133/(1+(1-Inputs!K133)*Inputs!I133),"")</f>
        <v/>
      </c>
    </row>
    <row r="13">
      <c r="A13" s="33">
        <f>Inputs!A134</f>
        <v/>
      </c>
      <c r="B13" s="33">
        <f>Inputs!B134</f>
        <v/>
      </c>
      <c r="C13" s="33">
        <f>Inputs!C134</f>
        <v/>
      </c>
      <c r="D13" s="33">
        <f>Inputs!D134</f>
        <v/>
      </c>
      <c r="E13" s="33">
        <f>Inputs!E134</f>
        <v/>
      </c>
      <c r="F13" s="33">
        <f>Inputs!F134</f>
        <v/>
      </c>
      <c r="G13" s="33">
        <f>Inputs!G134</f>
        <v/>
      </c>
      <c r="H13" s="33">
        <f>Inputs!H134</f>
        <v/>
      </c>
      <c r="I13" s="33">
        <f>Inputs!I134</f>
        <v/>
      </c>
      <c r="J13" s="33">
        <f>Inputs!J134</f>
        <v/>
      </c>
      <c r="K13" s="33">
        <f>Inputs!K134</f>
        <v/>
      </c>
      <c r="L13" s="33">
        <f>IFERROR(Inputs!J134/(1+(1-Inputs!K134)*Inputs!I134),"")</f>
        <v/>
      </c>
    </row>
    <row r="14">
      <c r="A14" s="33">
        <f>Inputs!A135</f>
        <v/>
      </c>
      <c r="B14" s="33">
        <f>Inputs!B135</f>
        <v/>
      </c>
      <c r="C14" s="33">
        <f>Inputs!C135</f>
        <v/>
      </c>
      <c r="D14" s="33">
        <f>Inputs!D135</f>
        <v/>
      </c>
      <c r="E14" s="33">
        <f>Inputs!E135</f>
        <v/>
      </c>
      <c r="F14" s="33">
        <f>Inputs!F135</f>
        <v/>
      </c>
      <c r="G14" s="33">
        <f>Inputs!G135</f>
        <v/>
      </c>
      <c r="H14" s="33">
        <f>Inputs!H135</f>
        <v/>
      </c>
      <c r="I14" s="33">
        <f>Inputs!I135</f>
        <v/>
      </c>
      <c r="J14" s="33">
        <f>Inputs!J135</f>
        <v/>
      </c>
      <c r="K14" s="33">
        <f>Inputs!K135</f>
        <v/>
      </c>
      <c r="L14" s="33">
        <f>IFERROR(Inputs!J135/(1+(1-Inputs!K135)*Inputs!I135),"")</f>
        <v/>
      </c>
    </row>
    <row r="15">
      <c r="A15" s="33">
        <f>Inputs!A136</f>
        <v/>
      </c>
      <c r="B15" s="33">
        <f>Inputs!B136</f>
        <v/>
      </c>
      <c r="C15" s="33">
        <f>Inputs!C136</f>
        <v/>
      </c>
      <c r="D15" s="33">
        <f>Inputs!D136</f>
        <v/>
      </c>
      <c r="E15" s="33">
        <f>Inputs!E136</f>
        <v/>
      </c>
      <c r="F15" s="33">
        <f>Inputs!F136</f>
        <v/>
      </c>
      <c r="G15" s="33">
        <f>Inputs!G136</f>
        <v/>
      </c>
      <c r="H15" s="33">
        <f>Inputs!H136</f>
        <v/>
      </c>
      <c r="I15" s="33">
        <f>Inputs!I136</f>
        <v/>
      </c>
      <c r="J15" s="33">
        <f>Inputs!J136</f>
        <v/>
      </c>
      <c r="K15" s="33">
        <f>Inputs!K136</f>
        <v/>
      </c>
      <c r="L15" s="33">
        <f>IFERROR(Inputs!J136/(1+(1-Inputs!K136)*Inputs!I136),"")</f>
        <v/>
      </c>
    </row>
    <row r="16">
      <c r="A16" s="33">
        <f>Inputs!A137</f>
        <v/>
      </c>
      <c r="B16" s="33">
        <f>Inputs!B137</f>
        <v/>
      </c>
      <c r="C16" s="33">
        <f>Inputs!C137</f>
        <v/>
      </c>
      <c r="D16" s="33">
        <f>Inputs!D137</f>
        <v/>
      </c>
      <c r="E16" s="33">
        <f>Inputs!E137</f>
        <v/>
      </c>
      <c r="F16" s="33">
        <f>Inputs!F137</f>
        <v/>
      </c>
      <c r="G16" s="33">
        <f>Inputs!G137</f>
        <v/>
      </c>
      <c r="H16" s="33">
        <f>Inputs!H137</f>
        <v/>
      </c>
      <c r="I16" s="33">
        <f>Inputs!I137</f>
        <v/>
      </c>
      <c r="J16" s="33">
        <f>Inputs!J137</f>
        <v/>
      </c>
      <c r="K16" s="33">
        <f>Inputs!K137</f>
        <v/>
      </c>
      <c r="L16" s="33">
        <f>IFERROR(Inputs!J137/(1+(1-Inputs!K137)*Inputs!I137),"")</f>
        <v/>
      </c>
    </row>
    <row r="17">
      <c r="A17" s="33">
        <f>Inputs!A138</f>
        <v/>
      </c>
      <c r="B17" s="33">
        <f>Inputs!B138</f>
        <v/>
      </c>
      <c r="C17" s="33">
        <f>Inputs!C138</f>
        <v/>
      </c>
      <c r="D17" s="33">
        <f>Inputs!D138</f>
        <v/>
      </c>
      <c r="E17" s="33">
        <f>Inputs!E138</f>
        <v/>
      </c>
      <c r="F17" s="33">
        <f>Inputs!F138</f>
        <v/>
      </c>
      <c r="G17" s="33">
        <f>Inputs!G138</f>
        <v/>
      </c>
      <c r="H17" s="33">
        <f>Inputs!H138</f>
        <v/>
      </c>
      <c r="I17" s="33">
        <f>Inputs!I138</f>
        <v/>
      </c>
      <c r="J17" s="33">
        <f>Inputs!J138</f>
        <v/>
      </c>
      <c r="K17" s="33">
        <f>Inputs!K138</f>
        <v/>
      </c>
      <c r="L17" s="33">
        <f>IFERROR(Inputs!J138/(1+(1-Inputs!K138)*Inputs!I138),"")</f>
        <v/>
      </c>
    </row>
    <row r="18">
      <c r="A18" s="33">
        <f>Inputs!A139</f>
        <v/>
      </c>
      <c r="B18" s="33">
        <f>Inputs!B139</f>
        <v/>
      </c>
      <c r="C18" s="33">
        <f>Inputs!C139</f>
        <v/>
      </c>
      <c r="D18" s="33">
        <f>Inputs!D139</f>
        <v/>
      </c>
      <c r="E18" s="33">
        <f>Inputs!E139</f>
        <v/>
      </c>
      <c r="F18" s="33">
        <f>Inputs!F139</f>
        <v/>
      </c>
      <c r="G18" s="33">
        <f>Inputs!G139</f>
        <v/>
      </c>
      <c r="H18" s="33">
        <f>Inputs!H139</f>
        <v/>
      </c>
      <c r="I18" s="33">
        <f>Inputs!I139</f>
        <v/>
      </c>
      <c r="J18" s="33">
        <f>Inputs!J139</f>
        <v/>
      </c>
      <c r="K18" s="33">
        <f>Inputs!K139</f>
        <v/>
      </c>
      <c r="L18" s="33">
        <f>IFERROR(Inputs!J139/(1+(1-Inputs!K139)*Inputs!I139),"")</f>
        <v/>
      </c>
    </row>
    <row r="19">
      <c r="A19" s="33">
        <f>Inputs!A140</f>
        <v/>
      </c>
      <c r="B19" s="33">
        <f>Inputs!B140</f>
        <v/>
      </c>
      <c r="C19" s="33">
        <f>Inputs!C140</f>
        <v/>
      </c>
      <c r="D19" s="33">
        <f>Inputs!D140</f>
        <v/>
      </c>
      <c r="E19" s="33">
        <f>Inputs!E140</f>
        <v/>
      </c>
      <c r="F19" s="33">
        <f>Inputs!F140</f>
        <v/>
      </c>
      <c r="G19" s="33">
        <f>Inputs!G140</f>
        <v/>
      </c>
      <c r="H19" s="33">
        <f>Inputs!H140</f>
        <v/>
      </c>
      <c r="I19" s="33">
        <f>Inputs!I140</f>
        <v/>
      </c>
      <c r="J19" s="33">
        <f>Inputs!J140</f>
        <v/>
      </c>
      <c r="K19" s="33">
        <f>Inputs!K140</f>
        <v/>
      </c>
      <c r="L19" s="33">
        <f>IFERROR(Inputs!J140/(1+(1-Inputs!K140)*Inputs!I140),"")</f>
        <v/>
      </c>
    </row>
    <row r="20">
      <c r="A20" s="33">
        <f>Inputs!A141</f>
        <v/>
      </c>
      <c r="B20" s="33">
        <f>Inputs!B141</f>
        <v/>
      </c>
      <c r="C20" s="33">
        <f>Inputs!C141</f>
        <v/>
      </c>
      <c r="D20" s="33">
        <f>Inputs!D141</f>
        <v/>
      </c>
      <c r="E20" s="33">
        <f>Inputs!E141</f>
        <v/>
      </c>
      <c r="F20" s="33">
        <f>Inputs!F141</f>
        <v/>
      </c>
      <c r="G20" s="33">
        <f>Inputs!G141</f>
        <v/>
      </c>
      <c r="H20" s="33">
        <f>Inputs!H141</f>
        <v/>
      </c>
      <c r="I20" s="33">
        <f>Inputs!I141</f>
        <v/>
      </c>
      <c r="J20" s="33">
        <f>Inputs!J141</f>
        <v/>
      </c>
      <c r="K20" s="33">
        <f>Inputs!K141</f>
        <v/>
      </c>
      <c r="L20" s="33">
        <f>IFERROR(Inputs!J141/(1+(1-Inputs!K141)*Inputs!I141),"")</f>
        <v/>
      </c>
    </row>
    <row r="21">
      <c r="A21" s="33">
        <f>Inputs!A142</f>
        <v/>
      </c>
      <c r="B21" s="33">
        <f>Inputs!B142</f>
        <v/>
      </c>
      <c r="C21" s="33">
        <f>Inputs!C142</f>
        <v/>
      </c>
      <c r="D21" s="33">
        <f>Inputs!D142</f>
        <v/>
      </c>
      <c r="E21" s="33">
        <f>Inputs!E142</f>
        <v/>
      </c>
      <c r="F21" s="33">
        <f>Inputs!F142</f>
        <v/>
      </c>
      <c r="G21" s="33">
        <f>Inputs!G142</f>
        <v/>
      </c>
      <c r="H21" s="33">
        <f>Inputs!H142</f>
        <v/>
      </c>
      <c r="I21" s="33">
        <f>Inputs!I142</f>
        <v/>
      </c>
      <c r="J21" s="33">
        <f>Inputs!J142</f>
        <v/>
      </c>
      <c r="K21" s="33">
        <f>Inputs!K142</f>
        <v/>
      </c>
      <c r="L21" s="33">
        <f>IFERROR(Inputs!J142/(1+(1-Inputs!K142)*Inputs!I142),"")</f>
        <v/>
      </c>
    </row>
    <row r="22">
      <c r="A22" s="33">
        <f>Inputs!A143</f>
        <v/>
      </c>
      <c r="B22" s="33">
        <f>Inputs!B143</f>
        <v/>
      </c>
      <c r="C22" s="33">
        <f>Inputs!C143</f>
        <v/>
      </c>
      <c r="D22" s="33">
        <f>Inputs!D143</f>
        <v/>
      </c>
      <c r="E22" s="33">
        <f>Inputs!E143</f>
        <v/>
      </c>
      <c r="F22" s="33">
        <f>Inputs!F143</f>
        <v/>
      </c>
      <c r="G22" s="33">
        <f>Inputs!G143</f>
        <v/>
      </c>
      <c r="H22" s="33">
        <f>Inputs!H143</f>
        <v/>
      </c>
      <c r="I22" s="33">
        <f>Inputs!I143</f>
        <v/>
      </c>
      <c r="J22" s="33">
        <f>Inputs!J143</f>
        <v/>
      </c>
      <c r="K22" s="33">
        <f>Inputs!K143</f>
        <v/>
      </c>
      <c r="L22" s="33">
        <f>IFERROR(Inputs!J143/(1+(1-Inputs!K143)*Inputs!I143),"")</f>
        <v/>
      </c>
    </row>
    <row r="23">
      <c r="A23" s="33">
        <f>Inputs!A144</f>
        <v/>
      </c>
      <c r="B23" s="33">
        <f>Inputs!B144</f>
        <v/>
      </c>
      <c r="C23" s="33">
        <f>Inputs!C144</f>
        <v/>
      </c>
      <c r="D23" s="33">
        <f>Inputs!D144</f>
        <v/>
      </c>
      <c r="E23" s="33">
        <f>Inputs!E144</f>
        <v/>
      </c>
      <c r="F23" s="33">
        <f>Inputs!F144</f>
        <v/>
      </c>
      <c r="G23" s="33">
        <f>Inputs!G144</f>
        <v/>
      </c>
      <c r="H23" s="33">
        <f>Inputs!H144</f>
        <v/>
      </c>
      <c r="I23" s="33">
        <f>Inputs!I144</f>
        <v/>
      </c>
      <c r="J23" s="33">
        <f>Inputs!J144</f>
        <v/>
      </c>
      <c r="K23" s="33">
        <f>Inputs!K144</f>
        <v/>
      </c>
      <c r="L23" s="33">
        <f>IFERROR(Inputs!J144/(1+(1-Inputs!K144)*Inputs!I144),"")</f>
        <v/>
      </c>
    </row>
    <row r="24">
      <c r="A24" s="33">
        <f>Inputs!A145</f>
        <v/>
      </c>
      <c r="B24" s="33">
        <f>Inputs!B145</f>
        <v/>
      </c>
      <c r="C24" s="33">
        <f>Inputs!C145</f>
        <v/>
      </c>
      <c r="D24" s="33">
        <f>Inputs!D145</f>
        <v/>
      </c>
      <c r="E24" s="33">
        <f>Inputs!E145</f>
        <v/>
      </c>
      <c r="F24" s="33">
        <f>Inputs!F145</f>
        <v/>
      </c>
      <c r="G24" s="33">
        <f>Inputs!G145</f>
        <v/>
      </c>
      <c r="H24" s="33">
        <f>Inputs!H145</f>
        <v/>
      </c>
      <c r="I24" s="33">
        <f>Inputs!I145</f>
        <v/>
      </c>
      <c r="J24" s="33">
        <f>Inputs!J145</f>
        <v/>
      </c>
      <c r="K24" s="33">
        <f>Inputs!K145</f>
        <v/>
      </c>
      <c r="L24" s="33">
        <f>IFERROR(Inputs!J145/(1+(1-Inputs!K145)*Inputs!I145),"")</f>
        <v/>
      </c>
    </row>
    <row r="25">
      <c r="A25" s="33">
        <f>Inputs!A146</f>
        <v/>
      </c>
      <c r="B25" s="33">
        <f>Inputs!B146</f>
        <v/>
      </c>
      <c r="C25" s="33">
        <f>Inputs!C146</f>
        <v/>
      </c>
      <c r="D25" s="33">
        <f>Inputs!D146</f>
        <v/>
      </c>
      <c r="E25" s="33">
        <f>Inputs!E146</f>
        <v/>
      </c>
      <c r="F25" s="33">
        <f>Inputs!F146</f>
        <v/>
      </c>
      <c r="G25" s="33">
        <f>Inputs!G146</f>
        <v/>
      </c>
      <c r="H25" s="33">
        <f>Inputs!H146</f>
        <v/>
      </c>
      <c r="I25" s="33">
        <f>Inputs!I146</f>
        <v/>
      </c>
      <c r="J25" s="33">
        <f>Inputs!J146</f>
        <v/>
      </c>
      <c r="K25" s="33">
        <f>Inputs!K146</f>
        <v/>
      </c>
      <c r="L25" s="33">
        <f>IFERROR(Inputs!J146/(1+(1-Inputs!K146)*Inputs!I146),"")</f>
        <v/>
      </c>
    </row>
    <row r="26">
      <c r="A26" s="33">
        <f>Inputs!A147</f>
        <v/>
      </c>
      <c r="B26" s="33">
        <f>Inputs!B147</f>
        <v/>
      </c>
      <c r="C26" s="33">
        <f>Inputs!C147</f>
        <v/>
      </c>
      <c r="D26" s="33">
        <f>Inputs!D147</f>
        <v/>
      </c>
      <c r="E26" s="33">
        <f>Inputs!E147</f>
        <v/>
      </c>
      <c r="F26" s="33">
        <f>Inputs!F147</f>
        <v/>
      </c>
      <c r="G26" s="33">
        <f>Inputs!G147</f>
        <v/>
      </c>
      <c r="H26" s="33">
        <f>Inputs!H147</f>
        <v/>
      </c>
      <c r="I26" s="33">
        <f>Inputs!I147</f>
        <v/>
      </c>
      <c r="J26" s="33">
        <f>Inputs!J147</f>
        <v/>
      </c>
      <c r="K26" s="33">
        <f>Inputs!K147</f>
        <v/>
      </c>
      <c r="L26" s="33">
        <f>IFERROR(Inputs!J147/(1+(1-Inputs!K147)*Inputs!I147),"")</f>
        <v/>
      </c>
    </row>
    <row r="27">
      <c r="A27" s="33">
        <f>Inputs!A148</f>
        <v/>
      </c>
      <c r="B27" s="33">
        <f>Inputs!B148</f>
        <v/>
      </c>
      <c r="C27" s="33">
        <f>Inputs!C148</f>
        <v/>
      </c>
      <c r="D27" s="33">
        <f>Inputs!D148</f>
        <v/>
      </c>
      <c r="E27" s="33">
        <f>Inputs!E148</f>
        <v/>
      </c>
      <c r="F27" s="33">
        <f>Inputs!F148</f>
        <v/>
      </c>
      <c r="G27" s="33">
        <f>Inputs!G148</f>
        <v/>
      </c>
      <c r="H27" s="33">
        <f>Inputs!H148</f>
        <v/>
      </c>
      <c r="I27" s="33">
        <f>Inputs!I148</f>
        <v/>
      </c>
      <c r="J27" s="33">
        <f>Inputs!J148</f>
        <v/>
      </c>
      <c r="K27" s="33">
        <f>Inputs!K148</f>
        <v/>
      </c>
      <c r="L27" s="33">
        <f>IFERROR(Inputs!J148/(1+(1-Inputs!K148)*Inputs!I148),"")</f>
        <v/>
      </c>
    </row>
    <row r="28">
      <c r="A28" s="33">
        <f>Inputs!A149</f>
        <v/>
      </c>
      <c r="B28" s="33">
        <f>Inputs!B149</f>
        <v/>
      </c>
      <c r="C28" s="33">
        <f>Inputs!C149</f>
        <v/>
      </c>
      <c r="D28" s="33">
        <f>Inputs!D149</f>
        <v/>
      </c>
      <c r="E28" s="33">
        <f>Inputs!E149</f>
        <v/>
      </c>
      <c r="F28" s="33">
        <f>Inputs!F149</f>
        <v/>
      </c>
      <c r="G28" s="33">
        <f>Inputs!G149</f>
        <v/>
      </c>
      <c r="H28" s="33">
        <f>Inputs!H149</f>
        <v/>
      </c>
      <c r="I28" s="33">
        <f>Inputs!I149</f>
        <v/>
      </c>
      <c r="J28" s="33">
        <f>Inputs!J149</f>
        <v/>
      </c>
      <c r="K28" s="33">
        <f>Inputs!K149</f>
        <v/>
      </c>
      <c r="L28" s="33">
        <f>IFERROR(Inputs!J149/(1+(1-Inputs!K149)*Inputs!I149),"")</f>
        <v/>
      </c>
    </row>
    <row r="29">
      <c r="A29" s="33">
        <f>Inputs!A150</f>
        <v/>
      </c>
      <c r="B29" s="33">
        <f>Inputs!B150</f>
        <v/>
      </c>
      <c r="C29" s="33">
        <f>Inputs!C150</f>
        <v/>
      </c>
      <c r="D29" s="33">
        <f>Inputs!D150</f>
        <v/>
      </c>
      <c r="E29" s="33">
        <f>Inputs!E150</f>
        <v/>
      </c>
      <c r="F29" s="33">
        <f>Inputs!F150</f>
        <v/>
      </c>
      <c r="G29" s="33">
        <f>Inputs!G150</f>
        <v/>
      </c>
      <c r="H29" s="33">
        <f>Inputs!H150</f>
        <v/>
      </c>
      <c r="I29" s="33">
        <f>Inputs!I150</f>
        <v/>
      </c>
      <c r="J29" s="33">
        <f>Inputs!J150</f>
        <v/>
      </c>
      <c r="K29" s="33">
        <f>Inputs!K150</f>
        <v/>
      </c>
      <c r="L29" s="33">
        <f>IFERROR(Inputs!J150/(1+(1-Inputs!K150)*Inputs!I150),"")</f>
        <v/>
      </c>
    </row>
    <row r="30">
      <c r="A30" s="33">
        <f>Inputs!A151</f>
        <v/>
      </c>
      <c r="B30" s="33">
        <f>Inputs!B151</f>
        <v/>
      </c>
      <c r="C30" s="33">
        <f>Inputs!C151</f>
        <v/>
      </c>
      <c r="D30" s="33">
        <f>Inputs!D151</f>
        <v/>
      </c>
      <c r="E30" s="33">
        <f>Inputs!E151</f>
        <v/>
      </c>
      <c r="F30" s="33">
        <f>Inputs!F151</f>
        <v/>
      </c>
      <c r="G30" s="33">
        <f>Inputs!G151</f>
        <v/>
      </c>
      <c r="H30" s="33">
        <f>Inputs!H151</f>
        <v/>
      </c>
      <c r="I30" s="33">
        <f>Inputs!I151</f>
        <v/>
      </c>
      <c r="J30" s="33">
        <f>Inputs!J151</f>
        <v/>
      </c>
      <c r="K30" s="33">
        <f>Inputs!K151</f>
        <v/>
      </c>
      <c r="L30" s="33">
        <f>IFERROR(Inputs!J151/(1+(1-Inputs!K151)*Inputs!I151),"")</f>
        <v/>
      </c>
    </row>
    <row r="31">
      <c r="A31" s="33">
        <f>Inputs!A152</f>
        <v/>
      </c>
      <c r="B31" s="33">
        <f>Inputs!B152</f>
        <v/>
      </c>
      <c r="C31" s="33">
        <f>Inputs!C152</f>
        <v/>
      </c>
      <c r="D31" s="33">
        <f>Inputs!D152</f>
        <v/>
      </c>
      <c r="E31" s="33">
        <f>Inputs!E152</f>
        <v/>
      </c>
      <c r="F31" s="33">
        <f>Inputs!F152</f>
        <v/>
      </c>
      <c r="G31" s="33">
        <f>Inputs!G152</f>
        <v/>
      </c>
      <c r="H31" s="33">
        <f>Inputs!H152</f>
        <v/>
      </c>
      <c r="I31" s="33">
        <f>Inputs!I152</f>
        <v/>
      </c>
      <c r="J31" s="33">
        <f>Inputs!J152</f>
        <v/>
      </c>
      <c r="K31" s="33">
        <f>Inputs!K152</f>
        <v/>
      </c>
      <c r="L31" s="33">
        <f>IFERROR(Inputs!J152/(1+(1-Inputs!K152)*Inputs!I152),"")</f>
        <v/>
      </c>
    </row>
    <row r="32">
      <c r="A32" s="33">
        <f>Inputs!A153</f>
        <v/>
      </c>
      <c r="B32" s="33">
        <f>Inputs!B153</f>
        <v/>
      </c>
      <c r="C32" s="33">
        <f>Inputs!C153</f>
        <v/>
      </c>
      <c r="D32" s="33">
        <f>Inputs!D153</f>
        <v/>
      </c>
      <c r="E32" s="33">
        <f>Inputs!E153</f>
        <v/>
      </c>
      <c r="F32" s="33">
        <f>Inputs!F153</f>
        <v/>
      </c>
      <c r="G32" s="33">
        <f>Inputs!G153</f>
        <v/>
      </c>
      <c r="H32" s="33">
        <f>Inputs!H153</f>
        <v/>
      </c>
      <c r="I32" s="33">
        <f>Inputs!I153</f>
        <v/>
      </c>
      <c r="J32" s="33">
        <f>Inputs!J153</f>
        <v/>
      </c>
      <c r="K32" s="33">
        <f>Inputs!K153</f>
        <v/>
      </c>
      <c r="L32" s="33">
        <f>IFERROR(Inputs!J153/(1+(1-Inputs!K153)*Inputs!I153),"")</f>
        <v/>
      </c>
    </row>
    <row r="33">
      <c r="A33" s="33">
        <f>Inputs!A154</f>
        <v/>
      </c>
      <c r="B33" s="33">
        <f>Inputs!B154</f>
        <v/>
      </c>
      <c r="C33" s="33">
        <f>Inputs!C154</f>
        <v/>
      </c>
      <c r="D33" s="33">
        <f>Inputs!D154</f>
        <v/>
      </c>
      <c r="E33" s="33">
        <f>Inputs!E154</f>
        <v/>
      </c>
      <c r="F33" s="33">
        <f>Inputs!F154</f>
        <v/>
      </c>
      <c r="G33" s="33">
        <f>Inputs!G154</f>
        <v/>
      </c>
      <c r="H33" s="33">
        <f>Inputs!H154</f>
        <v/>
      </c>
      <c r="I33" s="33">
        <f>Inputs!I154</f>
        <v/>
      </c>
      <c r="J33" s="33">
        <f>Inputs!J154</f>
        <v/>
      </c>
      <c r="K33" s="33">
        <f>Inputs!K154</f>
        <v/>
      </c>
      <c r="L33" s="33">
        <f>IFERROR(Inputs!J154/(1+(1-Inputs!K154)*Inputs!I154),"")</f>
        <v/>
      </c>
    </row>
    <row r="34">
      <c r="A34" s="33">
        <f>Inputs!A155</f>
        <v/>
      </c>
      <c r="B34" s="33">
        <f>Inputs!B155</f>
        <v/>
      </c>
      <c r="C34" s="33">
        <f>Inputs!C155</f>
        <v/>
      </c>
      <c r="D34" s="33">
        <f>Inputs!D155</f>
        <v/>
      </c>
      <c r="E34" s="33">
        <f>Inputs!E155</f>
        <v/>
      </c>
      <c r="F34" s="33">
        <f>Inputs!F155</f>
        <v/>
      </c>
      <c r="G34" s="33">
        <f>Inputs!G155</f>
        <v/>
      </c>
      <c r="H34" s="33">
        <f>Inputs!H155</f>
        <v/>
      </c>
      <c r="I34" s="33">
        <f>Inputs!I155</f>
        <v/>
      </c>
      <c r="J34" s="33">
        <f>Inputs!J155</f>
        <v/>
      </c>
      <c r="K34" s="33">
        <f>Inputs!K155</f>
        <v/>
      </c>
      <c r="L34" s="33">
        <f>IFERROR(Inputs!J155/(1+(1-Inputs!K155)*Inputs!I155),"")</f>
        <v/>
      </c>
    </row>
    <row r="35">
      <c r="A35" s="33">
        <f>Inputs!A156</f>
        <v/>
      </c>
      <c r="B35" s="33">
        <f>Inputs!B156</f>
        <v/>
      </c>
      <c r="C35" s="33">
        <f>Inputs!C156</f>
        <v/>
      </c>
      <c r="D35" s="33">
        <f>Inputs!D156</f>
        <v/>
      </c>
      <c r="E35" s="33">
        <f>Inputs!E156</f>
        <v/>
      </c>
      <c r="F35" s="33">
        <f>Inputs!F156</f>
        <v/>
      </c>
      <c r="G35" s="33">
        <f>Inputs!G156</f>
        <v/>
      </c>
      <c r="H35" s="33">
        <f>Inputs!H156</f>
        <v/>
      </c>
      <c r="I35" s="33">
        <f>Inputs!I156</f>
        <v/>
      </c>
      <c r="J35" s="33">
        <f>Inputs!J156</f>
        <v/>
      </c>
      <c r="K35" s="33">
        <f>Inputs!K156</f>
        <v/>
      </c>
      <c r="L35" s="33">
        <f>IFERROR(Inputs!J156/(1+(1-Inputs!K156)*Inputs!I156),"")</f>
        <v/>
      </c>
    </row>
  </sheetData>
  <mergeCells count="2">
    <mergeCell ref="A2:L2"/>
    <mergeCell ref="A1:H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cols>
    <col width="8" customWidth="1" min="1" max="1"/>
    <col width="10" customWidth="1" min="2" max="2"/>
    <col width="2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22" customHeight="1">
      <c r="A1" s="1" t="inlineStr">
        <is>
          <t>CoCo Multiples — trading multiples per comparable</t>
        </is>
      </c>
    </row>
    <row r="2">
      <c r="A2" s="2" t="inlineStr">
        <is>
          <t>Per-CoCo metric values (Capital IQ / Bloomberg). Cols A-D mirror Inputs. Cols E onward are manual data entry. Summary stats compute below.</t>
        </is>
      </c>
    </row>
    <row r="4">
      <c r="A4" s="21" t="inlineStr">
        <is>
          <t>Tier</t>
        </is>
      </c>
      <c r="B4" s="21" t="inlineStr">
        <is>
          <t>Include</t>
        </is>
      </c>
      <c r="C4" s="21" t="inlineStr">
        <is>
          <t>Company</t>
        </is>
      </c>
      <c r="D4" s="21" t="inlineStr">
        <is>
          <t>Ticker</t>
        </is>
      </c>
      <c r="E4" s="21" t="inlineStr">
        <is>
          <t>EV/Sales LTM</t>
        </is>
      </c>
      <c r="F4" s="21" t="inlineStr">
        <is>
          <t>EV/Sales NTM</t>
        </is>
      </c>
      <c r="G4" s="21" t="inlineStr">
        <is>
          <t>EV/EBITDA LTM</t>
        </is>
      </c>
      <c r="H4" s="21" t="inlineStr">
        <is>
          <t>EV/EBITDA NTM</t>
        </is>
      </c>
      <c r="I4" s="21" t="inlineStr">
        <is>
          <t>P/E LTM</t>
        </is>
      </c>
      <c r="J4" s="21" t="inlineStr">
        <is>
          <t>P/E NTM</t>
        </is>
      </c>
    </row>
    <row r="6">
      <c r="A6" s="33">
        <f>Inputs!A127</f>
        <v/>
      </c>
      <c r="B6" s="33">
        <f>Inputs!B127</f>
        <v/>
      </c>
      <c r="C6" s="33">
        <f>Inputs!C127</f>
        <v/>
      </c>
      <c r="D6" s="33">
        <f>Inputs!D127</f>
        <v/>
      </c>
      <c r="E6" s="56" t="n"/>
      <c r="F6" s="56" t="n"/>
      <c r="G6" s="57" t="n"/>
      <c r="H6" s="57" t="n"/>
      <c r="I6" s="57" t="n"/>
      <c r="J6" s="57" t="n"/>
    </row>
    <row r="7">
      <c r="A7" s="33">
        <f>Inputs!A128</f>
        <v/>
      </c>
      <c r="B7" s="33">
        <f>Inputs!B128</f>
        <v/>
      </c>
      <c r="C7" s="33">
        <f>Inputs!C128</f>
        <v/>
      </c>
      <c r="D7" s="33">
        <f>Inputs!D128</f>
        <v/>
      </c>
      <c r="E7" s="56" t="n"/>
      <c r="F7" s="56" t="n"/>
      <c r="G7" s="57" t="n"/>
      <c r="H7" s="57" t="n"/>
      <c r="I7" s="57" t="n"/>
      <c r="J7" s="57" t="n"/>
    </row>
    <row r="8">
      <c r="A8" s="33">
        <f>Inputs!A129</f>
        <v/>
      </c>
      <c r="B8" s="33">
        <f>Inputs!B129</f>
        <v/>
      </c>
      <c r="C8" s="33">
        <f>Inputs!C129</f>
        <v/>
      </c>
      <c r="D8" s="33">
        <f>Inputs!D129</f>
        <v/>
      </c>
      <c r="E8" s="56" t="n"/>
      <c r="F8" s="56" t="n"/>
      <c r="G8" s="57" t="n"/>
      <c r="H8" s="57" t="n"/>
      <c r="I8" s="57" t="n"/>
      <c r="J8" s="57" t="n"/>
    </row>
    <row r="9">
      <c r="A9" s="33">
        <f>Inputs!A130</f>
        <v/>
      </c>
      <c r="B9" s="33">
        <f>Inputs!B130</f>
        <v/>
      </c>
      <c r="C9" s="33">
        <f>Inputs!C130</f>
        <v/>
      </c>
      <c r="D9" s="33">
        <f>Inputs!D130</f>
        <v/>
      </c>
      <c r="E9" s="56" t="n"/>
      <c r="F9" s="56" t="n"/>
      <c r="G9" s="57" t="n"/>
      <c r="H9" s="57" t="n"/>
      <c r="I9" s="57" t="n"/>
      <c r="J9" s="57" t="n"/>
    </row>
    <row r="10">
      <c r="A10" s="33">
        <f>Inputs!A131</f>
        <v/>
      </c>
      <c r="B10" s="33">
        <f>Inputs!B131</f>
        <v/>
      </c>
      <c r="C10" s="33">
        <f>Inputs!C131</f>
        <v/>
      </c>
      <c r="D10" s="33">
        <f>Inputs!D131</f>
        <v/>
      </c>
      <c r="E10" s="56" t="n"/>
      <c r="F10" s="56" t="n"/>
      <c r="G10" s="57" t="n"/>
      <c r="H10" s="57" t="n"/>
      <c r="I10" s="57" t="n"/>
      <c r="J10" s="57" t="n"/>
    </row>
    <row r="11">
      <c r="A11" s="33">
        <f>Inputs!A132</f>
        <v/>
      </c>
      <c r="B11" s="33">
        <f>Inputs!B132</f>
        <v/>
      </c>
      <c r="C11" s="33">
        <f>Inputs!C132</f>
        <v/>
      </c>
      <c r="D11" s="33">
        <f>Inputs!D132</f>
        <v/>
      </c>
      <c r="E11" s="56" t="n"/>
      <c r="F11" s="56" t="n"/>
      <c r="G11" s="57" t="n"/>
      <c r="H11" s="57" t="n"/>
      <c r="I11" s="57" t="n"/>
      <c r="J11" s="57" t="n"/>
    </row>
    <row r="12">
      <c r="A12" s="33">
        <f>Inputs!A133</f>
        <v/>
      </c>
      <c r="B12" s="33">
        <f>Inputs!B133</f>
        <v/>
      </c>
      <c r="C12" s="33">
        <f>Inputs!C133</f>
        <v/>
      </c>
      <c r="D12" s="33">
        <f>Inputs!D133</f>
        <v/>
      </c>
      <c r="E12" s="56" t="n"/>
      <c r="F12" s="56" t="n"/>
      <c r="G12" s="57" t="n"/>
      <c r="H12" s="57" t="n"/>
      <c r="I12" s="57" t="n"/>
      <c r="J12" s="57" t="n"/>
    </row>
    <row r="13">
      <c r="A13" s="33">
        <f>Inputs!A134</f>
        <v/>
      </c>
      <c r="B13" s="33">
        <f>Inputs!B134</f>
        <v/>
      </c>
      <c r="C13" s="33">
        <f>Inputs!C134</f>
        <v/>
      </c>
      <c r="D13" s="33">
        <f>Inputs!D134</f>
        <v/>
      </c>
      <c r="E13" s="56" t="n"/>
      <c r="F13" s="56" t="n"/>
      <c r="G13" s="57" t="n"/>
      <c r="H13" s="57" t="n"/>
      <c r="I13" s="57" t="n"/>
      <c r="J13" s="57" t="n"/>
    </row>
    <row r="14">
      <c r="A14" s="33">
        <f>Inputs!A135</f>
        <v/>
      </c>
      <c r="B14" s="33">
        <f>Inputs!B135</f>
        <v/>
      </c>
      <c r="C14" s="33">
        <f>Inputs!C135</f>
        <v/>
      </c>
      <c r="D14" s="33">
        <f>Inputs!D135</f>
        <v/>
      </c>
      <c r="E14" s="56" t="n"/>
      <c r="F14" s="56" t="n"/>
      <c r="G14" s="57" t="n"/>
      <c r="H14" s="57" t="n"/>
      <c r="I14" s="57" t="n"/>
      <c r="J14" s="57" t="n"/>
    </row>
    <row r="15">
      <c r="A15" s="33">
        <f>Inputs!A136</f>
        <v/>
      </c>
      <c r="B15" s="33">
        <f>Inputs!B136</f>
        <v/>
      </c>
      <c r="C15" s="33">
        <f>Inputs!C136</f>
        <v/>
      </c>
      <c r="D15" s="33">
        <f>Inputs!D136</f>
        <v/>
      </c>
      <c r="E15" s="56" t="n"/>
      <c r="F15" s="56" t="n"/>
      <c r="G15" s="57" t="n"/>
      <c r="H15" s="57" t="n"/>
      <c r="I15" s="57" t="n"/>
      <c r="J15" s="57" t="n"/>
    </row>
    <row r="16">
      <c r="A16" s="33">
        <f>Inputs!A137</f>
        <v/>
      </c>
      <c r="B16" s="33">
        <f>Inputs!B137</f>
        <v/>
      </c>
      <c r="C16" s="33">
        <f>Inputs!C137</f>
        <v/>
      </c>
      <c r="D16" s="33">
        <f>Inputs!D137</f>
        <v/>
      </c>
      <c r="E16" s="56" t="n"/>
      <c r="F16" s="56" t="n"/>
      <c r="G16" s="57" t="n"/>
      <c r="H16" s="57" t="n"/>
      <c r="I16" s="57" t="n"/>
      <c r="J16" s="57" t="n"/>
    </row>
    <row r="17">
      <c r="A17" s="33">
        <f>Inputs!A138</f>
        <v/>
      </c>
      <c r="B17" s="33">
        <f>Inputs!B138</f>
        <v/>
      </c>
      <c r="C17" s="33">
        <f>Inputs!C138</f>
        <v/>
      </c>
      <c r="D17" s="33">
        <f>Inputs!D138</f>
        <v/>
      </c>
      <c r="E17" s="56" t="n"/>
      <c r="F17" s="56" t="n"/>
      <c r="G17" s="57" t="n"/>
      <c r="H17" s="57" t="n"/>
      <c r="I17" s="57" t="n"/>
      <c r="J17" s="57" t="n"/>
    </row>
    <row r="18">
      <c r="A18" s="33">
        <f>Inputs!A139</f>
        <v/>
      </c>
      <c r="B18" s="33">
        <f>Inputs!B139</f>
        <v/>
      </c>
      <c r="C18" s="33">
        <f>Inputs!C139</f>
        <v/>
      </c>
      <c r="D18" s="33">
        <f>Inputs!D139</f>
        <v/>
      </c>
      <c r="E18" s="56" t="n"/>
      <c r="F18" s="56" t="n"/>
      <c r="G18" s="57" t="n"/>
      <c r="H18" s="57" t="n"/>
      <c r="I18" s="57" t="n"/>
      <c r="J18" s="57" t="n"/>
    </row>
    <row r="19">
      <c r="A19" s="33">
        <f>Inputs!A140</f>
        <v/>
      </c>
      <c r="B19" s="33">
        <f>Inputs!B140</f>
        <v/>
      </c>
      <c r="C19" s="33">
        <f>Inputs!C140</f>
        <v/>
      </c>
      <c r="D19" s="33">
        <f>Inputs!D140</f>
        <v/>
      </c>
      <c r="E19" s="56" t="n"/>
      <c r="F19" s="56" t="n"/>
      <c r="G19" s="57" t="n"/>
      <c r="H19" s="57" t="n"/>
      <c r="I19" s="57" t="n"/>
      <c r="J19" s="57" t="n"/>
    </row>
    <row r="20">
      <c r="A20" s="33">
        <f>Inputs!A141</f>
        <v/>
      </c>
      <c r="B20" s="33">
        <f>Inputs!B141</f>
        <v/>
      </c>
      <c r="C20" s="33">
        <f>Inputs!C141</f>
        <v/>
      </c>
      <c r="D20" s="33">
        <f>Inputs!D141</f>
        <v/>
      </c>
      <c r="E20" s="56" t="n"/>
      <c r="F20" s="56" t="n"/>
      <c r="G20" s="57" t="n"/>
      <c r="H20" s="57" t="n"/>
      <c r="I20" s="57" t="n"/>
      <c r="J20" s="57" t="n"/>
    </row>
    <row r="21">
      <c r="A21" s="33">
        <f>Inputs!A142</f>
        <v/>
      </c>
      <c r="B21" s="33">
        <f>Inputs!B142</f>
        <v/>
      </c>
      <c r="C21" s="33">
        <f>Inputs!C142</f>
        <v/>
      </c>
      <c r="D21" s="33">
        <f>Inputs!D142</f>
        <v/>
      </c>
      <c r="E21" s="56" t="n"/>
      <c r="F21" s="56" t="n"/>
      <c r="G21" s="57" t="n"/>
      <c r="H21" s="57" t="n"/>
      <c r="I21" s="57" t="n"/>
      <c r="J21" s="57" t="n"/>
    </row>
    <row r="22">
      <c r="A22" s="33">
        <f>Inputs!A143</f>
        <v/>
      </c>
      <c r="B22" s="33">
        <f>Inputs!B143</f>
        <v/>
      </c>
      <c r="C22" s="33">
        <f>Inputs!C143</f>
        <v/>
      </c>
      <c r="D22" s="33">
        <f>Inputs!D143</f>
        <v/>
      </c>
      <c r="E22" s="56" t="n"/>
      <c r="F22" s="56" t="n"/>
      <c r="G22" s="57" t="n"/>
      <c r="H22" s="57" t="n"/>
      <c r="I22" s="57" t="n"/>
      <c r="J22" s="57" t="n"/>
    </row>
    <row r="23">
      <c r="A23" s="33">
        <f>Inputs!A144</f>
        <v/>
      </c>
      <c r="B23" s="33">
        <f>Inputs!B144</f>
        <v/>
      </c>
      <c r="C23" s="33">
        <f>Inputs!C144</f>
        <v/>
      </c>
      <c r="D23" s="33">
        <f>Inputs!D144</f>
        <v/>
      </c>
      <c r="E23" s="56" t="n"/>
      <c r="F23" s="56" t="n"/>
      <c r="G23" s="57" t="n"/>
      <c r="H23" s="57" t="n"/>
      <c r="I23" s="57" t="n"/>
      <c r="J23" s="57" t="n"/>
    </row>
    <row r="24">
      <c r="A24" s="33">
        <f>Inputs!A145</f>
        <v/>
      </c>
      <c r="B24" s="33">
        <f>Inputs!B145</f>
        <v/>
      </c>
      <c r="C24" s="33">
        <f>Inputs!C145</f>
        <v/>
      </c>
      <c r="D24" s="33">
        <f>Inputs!D145</f>
        <v/>
      </c>
      <c r="E24" s="56" t="n"/>
      <c r="F24" s="56" t="n"/>
      <c r="G24" s="57" t="n"/>
      <c r="H24" s="57" t="n"/>
      <c r="I24" s="57" t="n"/>
      <c r="J24" s="57" t="n"/>
    </row>
    <row r="25">
      <c r="A25" s="33">
        <f>Inputs!A146</f>
        <v/>
      </c>
      <c r="B25" s="33">
        <f>Inputs!B146</f>
        <v/>
      </c>
      <c r="C25" s="33">
        <f>Inputs!C146</f>
        <v/>
      </c>
      <c r="D25" s="33">
        <f>Inputs!D146</f>
        <v/>
      </c>
      <c r="E25" s="56" t="n"/>
      <c r="F25" s="56" t="n"/>
      <c r="G25" s="57" t="n"/>
      <c r="H25" s="57" t="n"/>
      <c r="I25" s="57" t="n"/>
      <c r="J25" s="57" t="n"/>
    </row>
    <row r="26">
      <c r="A26" s="33">
        <f>Inputs!A147</f>
        <v/>
      </c>
      <c r="B26" s="33">
        <f>Inputs!B147</f>
        <v/>
      </c>
      <c r="C26" s="33">
        <f>Inputs!C147</f>
        <v/>
      </c>
      <c r="D26" s="33">
        <f>Inputs!D147</f>
        <v/>
      </c>
      <c r="E26" s="56" t="n"/>
      <c r="F26" s="56" t="n"/>
      <c r="G26" s="57" t="n"/>
      <c r="H26" s="57" t="n"/>
      <c r="I26" s="57" t="n"/>
      <c r="J26" s="57" t="n"/>
    </row>
    <row r="27">
      <c r="A27" s="33">
        <f>Inputs!A148</f>
        <v/>
      </c>
      <c r="B27" s="33">
        <f>Inputs!B148</f>
        <v/>
      </c>
      <c r="C27" s="33">
        <f>Inputs!C148</f>
        <v/>
      </c>
      <c r="D27" s="33">
        <f>Inputs!D148</f>
        <v/>
      </c>
      <c r="E27" s="56" t="n"/>
      <c r="F27" s="56" t="n"/>
      <c r="G27" s="57" t="n"/>
      <c r="H27" s="57" t="n"/>
      <c r="I27" s="57" t="n"/>
      <c r="J27" s="57" t="n"/>
    </row>
    <row r="28">
      <c r="A28" s="33">
        <f>Inputs!A149</f>
        <v/>
      </c>
      <c r="B28" s="33">
        <f>Inputs!B149</f>
        <v/>
      </c>
      <c r="C28" s="33">
        <f>Inputs!C149</f>
        <v/>
      </c>
      <c r="D28" s="33">
        <f>Inputs!D149</f>
        <v/>
      </c>
      <c r="E28" s="56" t="n"/>
      <c r="F28" s="56" t="n"/>
      <c r="G28" s="57" t="n"/>
      <c r="H28" s="57" t="n"/>
      <c r="I28" s="57" t="n"/>
      <c r="J28" s="57" t="n"/>
    </row>
    <row r="29">
      <c r="A29" s="33">
        <f>Inputs!A150</f>
        <v/>
      </c>
      <c r="B29" s="33">
        <f>Inputs!B150</f>
        <v/>
      </c>
      <c r="C29" s="33">
        <f>Inputs!C150</f>
        <v/>
      </c>
      <c r="D29" s="33">
        <f>Inputs!D150</f>
        <v/>
      </c>
      <c r="E29" s="56" t="n"/>
      <c r="F29" s="56" t="n"/>
      <c r="G29" s="57" t="n"/>
      <c r="H29" s="57" t="n"/>
      <c r="I29" s="57" t="n"/>
      <c r="J29" s="57" t="n"/>
    </row>
    <row r="30">
      <c r="A30" s="33">
        <f>Inputs!A151</f>
        <v/>
      </c>
      <c r="B30" s="33">
        <f>Inputs!B151</f>
        <v/>
      </c>
      <c r="C30" s="33">
        <f>Inputs!C151</f>
        <v/>
      </c>
      <c r="D30" s="33">
        <f>Inputs!D151</f>
        <v/>
      </c>
      <c r="E30" s="56" t="n"/>
      <c r="F30" s="56" t="n"/>
      <c r="G30" s="57" t="n"/>
      <c r="H30" s="57" t="n"/>
      <c r="I30" s="57" t="n"/>
      <c r="J30" s="57" t="n"/>
    </row>
    <row r="31">
      <c r="A31" s="33">
        <f>Inputs!A152</f>
        <v/>
      </c>
      <c r="B31" s="33">
        <f>Inputs!B152</f>
        <v/>
      </c>
      <c r="C31" s="33">
        <f>Inputs!C152</f>
        <v/>
      </c>
      <c r="D31" s="33">
        <f>Inputs!D152</f>
        <v/>
      </c>
      <c r="E31" s="56" t="n"/>
      <c r="F31" s="56" t="n"/>
      <c r="G31" s="57" t="n"/>
      <c r="H31" s="57" t="n"/>
      <c r="I31" s="57" t="n"/>
      <c r="J31" s="57" t="n"/>
    </row>
    <row r="32">
      <c r="A32" s="33">
        <f>Inputs!A153</f>
        <v/>
      </c>
      <c r="B32" s="33">
        <f>Inputs!B153</f>
        <v/>
      </c>
      <c r="C32" s="33">
        <f>Inputs!C153</f>
        <v/>
      </c>
      <c r="D32" s="33">
        <f>Inputs!D153</f>
        <v/>
      </c>
      <c r="E32" s="56" t="n"/>
      <c r="F32" s="56" t="n"/>
      <c r="G32" s="57" t="n"/>
      <c r="H32" s="57" t="n"/>
      <c r="I32" s="57" t="n"/>
      <c r="J32" s="57" t="n"/>
    </row>
    <row r="33">
      <c r="A33" s="33">
        <f>Inputs!A154</f>
        <v/>
      </c>
      <c r="B33" s="33">
        <f>Inputs!B154</f>
        <v/>
      </c>
      <c r="C33" s="33">
        <f>Inputs!C154</f>
        <v/>
      </c>
      <c r="D33" s="33">
        <f>Inputs!D154</f>
        <v/>
      </c>
      <c r="E33" s="56" t="n"/>
      <c r="F33" s="56" t="n"/>
      <c r="G33" s="57" t="n"/>
      <c r="H33" s="57" t="n"/>
      <c r="I33" s="57" t="n"/>
      <c r="J33" s="57" t="n"/>
    </row>
    <row r="34">
      <c r="A34" s="33">
        <f>Inputs!A155</f>
        <v/>
      </c>
      <c r="B34" s="33">
        <f>Inputs!B155</f>
        <v/>
      </c>
      <c r="C34" s="33">
        <f>Inputs!C155</f>
        <v/>
      </c>
      <c r="D34" s="33">
        <f>Inputs!D155</f>
        <v/>
      </c>
      <c r="E34" s="56" t="n"/>
      <c r="F34" s="56" t="n"/>
      <c r="G34" s="57" t="n"/>
      <c r="H34" s="57" t="n"/>
      <c r="I34" s="57" t="n"/>
      <c r="J34" s="57" t="n"/>
    </row>
    <row r="35">
      <c r="A35" s="33">
        <f>Inputs!A156</f>
        <v/>
      </c>
      <c r="B35" s="33">
        <f>Inputs!B156</f>
        <v/>
      </c>
      <c r="C35" s="33">
        <f>Inputs!C156</f>
        <v/>
      </c>
      <c r="D35" s="33">
        <f>Inputs!D156</f>
        <v/>
      </c>
      <c r="E35" s="56" t="n"/>
      <c r="F35" s="56" t="n"/>
      <c r="G35" s="57" t="n"/>
      <c r="H35" s="57" t="n"/>
      <c r="I35" s="57" t="n"/>
      <c r="J35" s="57" t="n"/>
    </row>
    <row r="37">
      <c r="D37" s="43" t="inlineStr">
        <is>
          <t>Maximum</t>
        </is>
      </c>
      <c r="E37" s="58">
        <f>IFERROR(MAX(E6:E35),"n/a")</f>
        <v/>
      </c>
      <c r="F37" s="58">
        <f>IFERROR(MAX(F6:F35),"n/a")</f>
        <v/>
      </c>
      <c r="G37" s="59">
        <f>IFERROR(MAX(G6:G35),"n/a")</f>
        <v/>
      </c>
      <c r="H37" s="59">
        <f>IFERROR(MAX(H6:H35),"n/a")</f>
        <v/>
      </c>
      <c r="I37" s="59">
        <f>IFERROR(MAX(I6:I35),"n/a")</f>
        <v/>
      </c>
      <c r="J37" s="59">
        <f>IFERROR(MAX(J6:J35),"n/a")</f>
        <v/>
      </c>
    </row>
    <row r="38">
      <c r="D38" s="43" t="inlineStr">
        <is>
          <t>Q3 (75%)</t>
        </is>
      </c>
      <c r="E38" s="58">
        <f>IFERROR(QUARTILE(E6:E35,3),"n/a")</f>
        <v/>
      </c>
      <c r="F38" s="58">
        <f>IFERROR(QUARTILE(F6:F35,3),"n/a")</f>
        <v/>
      </c>
      <c r="G38" s="59">
        <f>IFERROR(QUARTILE(G6:G35,3),"n/a")</f>
        <v/>
      </c>
      <c r="H38" s="59">
        <f>IFERROR(QUARTILE(H6:H35,3),"n/a")</f>
        <v/>
      </c>
      <c r="I38" s="59">
        <f>IFERROR(QUARTILE(I6:I35,3),"n/a")</f>
        <v/>
      </c>
      <c r="J38" s="59">
        <f>IFERROR(QUARTILE(J6:J35,3),"n/a")</f>
        <v/>
      </c>
    </row>
    <row r="39">
      <c r="D39" s="43" t="inlineStr">
        <is>
          <t>Median</t>
        </is>
      </c>
      <c r="E39" s="60">
        <f>IFERROR(MEDIAN(E6:E35),"n/a")</f>
        <v/>
      </c>
      <c r="F39" s="60">
        <f>IFERROR(MEDIAN(F6:F35),"n/a")</f>
        <v/>
      </c>
      <c r="G39" s="61">
        <f>IFERROR(MEDIAN(G6:G35),"n/a")</f>
        <v/>
      </c>
      <c r="H39" s="61">
        <f>IFERROR(MEDIAN(H6:H35),"n/a")</f>
        <v/>
      </c>
      <c r="I39" s="61">
        <f>IFERROR(MEDIAN(I6:I35),"n/a")</f>
        <v/>
      </c>
      <c r="J39" s="61">
        <f>IFERROR(MEDIAN(J6:J35),"n/a")</f>
        <v/>
      </c>
    </row>
    <row r="40">
      <c r="D40" s="43" t="inlineStr">
        <is>
          <t>Mean</t>
        </is>
      </c>
      <c r="E40" s="58">
        <f>IFERROR(AVERAGE(E6:E35),"n/a")</f>
        <v/>
      </c>
      <c r="F40" s="58">
        <f>IFERROR(AVERAGE(F6:F35),"n/a")</f>
        <v/>
      </c>
      <c r="G40" s="59">
        <f>IFERROR(AVERAGE(G6:G35),"n/a")</f>
        <v/>
      </c>
      <c r="H40" s="59">
        <f>IFERROR(AVERAGE(H6:H35),"n/a")</f>
        <v/>
      </c>
      <c r="I40" s="59">
        <f>IFERROR(AVERAGE(I6:I35),"n/a")</f>
        <v/>
      </c>
      <c r="J40" s="59">
        <f>IFERROR(AVERAGE(J6:J35),"n/a")</f>
        <v/>
      </c>
    </row>
    <row r="41">
      <c r="D41" s="43" t="inlineStr">
        <is>
          <t>Q1 (25%)</t>
        </is>
      </c>
      <c r="E41" s="58">
        <f>IFERROR(QUARTILE(E6:E35,1),"n/a")</f>
        <v/>
      </c>
      <c r="F41" s="58">
        <f>IFERROR(QUARTILE(F6:F35,1),"n/a")</f>
        <v/>
      </c>
      <c r="G41" s="59">
        <f>IFERROR(QUARTILE(G6:G35,1),"n/a")</f>
        <v/>
      </c>
      <c r="H41" s="59">
        <f>IFERROR(QUARTILE(H6:H35,1),"n/a")</f>
        <v/>
      </c>
      <c r="I41" s="59">
        <f>IFERROR(QUARTILE(I6:I35,1),"n/a")</f>
        <v/>
      </c>
      <c r="J41" s="59">
        <f>IFERROR(QUARTILE(J6:J35,1),"n/a")</f>
        <v/>
      </c>
    </row>
    <row r="42">
      <c r="D42" s="43" t="inlineStr">
        <is>
          <t>Minimum</t>
        </is>
      </c>
      <c r="E42" s="58">
        <f>IFERROR(MIN(E6:E35),"n/a")</f>
        <v/>
      </c>
      <c r="F42" s="58">
        <f>IFERROR(MIN(F6:F35),"n/a")</f>
        <v/>
      </c>
      <c r="G42" s="59">
        <f>IFERROR(MIN(G6:G35),"n/a")</f>
        <v/>
      </c>
      <c r="H42" s="59">
        <f>IFERROR(MIN(H6:H35),"n/a")</f>
        <v/>
      </c>
      <c r="I42" s="59">
        <f>IFERROR(MIN(I6:I35),"n/a")</f>
        <v/>
      </c>
      <c r="J42" s="59">
        <f>IFERROR(MIN(J6:J35),"n/a")</f>
        <v/>
      </c>
    </row>
    <row r="44">
      <c r="D44" s="3" t="inlineStr">
        <is>
          <t>Tier-filtered (include=TRUE)</t>
        </is>
      </c>
    </row>
    <row r="45">
      <c r="D45" s="4" t="inlineStr">
        <is>
          <t>Tier 1 mean</t>
        </is>
      </c>
      <c r="E45" s="47">
        <f>IFERROR(AVERAGEIFS(E6:E35,$A$6:$A$35,1,$B$6:$B$35,TRUE),"n/a")</f>
        <v/>
      </c>
      <c r="F45" s="47">
        <f>IFERROR(AVERAGEIFS(F6:F35,$A$6:$A$35,1,$B$6:$B$35,TRUE),"n/a")</f>
        <v/>
      </c>
      <c r="G45" s="62">
        <f>IFERROR(AVERAGEIFS(G6:G35,$A$6:$A$35,1,$B$6:$B$35,TRUE),"n/a")</f>
        <v/>
      </c>
      <c r="H45" s="62">
        <f>IFERROR(AVERAGEIFS(H6:H35,$A$6:$A$35,1,$B$6:$B$35,TRUE),"n/a")</f>
        <v/>
      </c>
      <c r="I45" s="62">
        <f>IFERROR(AVERAGEIFS(I6:I35,$A$6:$A$35,1,$B$6:$B$35,TRUE),"n/a")</f>
        <v/>
      </c>
      <c r="J45" s="62">
        <f>IFERROR(AVERAGEIFS(J6:J35,$A$6:$A$35,1,$B$6:$B$35,TRUE),"n/a")</f>
        <v/>
      </c>
    </row>
    <row r="46">
      <c r="D46" s="4" t="inlineStr">
        <is>
          <t>Tier 2 mean</t>
        </is>
      </c>
      <c r="E46" s="47">
        <f>IFERROR(AVERAGEIFS(E6:E35,$A$6:$A$35,2,$B$6:$B$35,TRUE),"n/a")</f>
        <v/>
      </c>
      <c r="F46" s="47">
        <f>IFERROR(AVERAGEIFS(F6:F35,$A$6:$A$35,2,$B$6:$B$35,TRUE),"n/a")</f>
        <v/>
      </c>
      <c r="G46" s="62">
        <f>IFERROR(AVERAGEIFS(G6:G35,$A$6:$A$35,2,$B$6:$B$35,TRUE),"n/a")</f>
        <v/>
      </c>
      <c r="H46" s="62">
        <f>IFERROR(AVERAGEIFS(H6:H35,$A$6:$A$35,2,$B$6:$B$35,TRUE),"n/a")</f>
        <v/>
      </c>
      <c r="I46" s="62">
        <f>IFERROR(AVERAGEIFS(I6:I35,$A$6:$A$35,2,$B$6:$B$35,TRUE),"n/a")</f>
        <v/>
      </c>
      <c r="J46" s="62">
        <f>IFERROR(AVERAGEIFS(J6:J35,$A$6:$A$35,2,$B$6:$B$35,TRUE),"n/a")</f>
        <v/>
      </c>
    </row>
    <row r="47">
      <c r="D47" s="4" t="inlineStr">
        <is>
          <t>Tier 3 mean</t>
        </is>
      </c>
      <c r="E47" s="47">
        <f>IFERROR(AVERAGEIFS(E6:E35,$A$6:$A$35,3,$B$6:$B$35,TRUE),"n/a")</f>
        <v/>
      </c>
      <c r="F47" s="47">
        <f>IFERROR(AVERAGEIFS(F6:F35,$A$6:$A$35,3,$B$6:$B$35,TRUE),"n/a")</f>
        <v/>
      </c>
      <c r="G47" s="62">
        <f>IFERROR(AVERAGEIFS(G6:G35,$A$6:$A$35,3,$B$6:$B$35,TRUE),"n/a")</f>
        <v/>
      </c>
      <c r="H47" s="62">
        <f>IFERROR(AVERAGEIFS(H6:H35,$A$6:$A$35,3,$B$6:$B$35,TRUE),"n/a")</f>
        <v/>
      </c>
      <c r="I47" s="62">
        <f>IFERROR(AVERAGEIFS(I6:I35,$A$6:$A$35,3,$B$6:$B$35,TRUE),"n/a")</f>
        <v/>
      </c>
      <c r="J47" s="62">
        <f>IFERROR(AVERAGEIFS(J6:J35,$A$6:$A$35,3,$B$6:$B$35,TRUE),"n/a")</f>
        <v/>
      </c>
    </row>
  </sheetData>
  <mergeCells count="2">
    <mergeCell ref="A2:J2"/>
    <mergeCell ref="A1:H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cols>
    <col width="8" customWidth="1" min="1" max="1"/>
    <col width="10" customWidth="1" min="2" max="2"/>
    <col width="24" customWidth="1" min="3" max="3"/>
    <col width="14" customWidth="1" min="4" max="4"/>
    <col width="14" customWidth="1" min="5" max="5"/>
    <col width="14" customWidth="1" min="6" max="6"/>
    <col width="14" customWidth="1" min="7" max="7"/>
  </cols>
  <sheetData>
    <row r="1" ht="22" customHeight="1">
      <c r="A1" s="1" t="inlineStr">
        <is>
          <t>CoCo Margins — profitability per comparable</t>
        </is>
      </c>
    </row>
    <row r="2">
      <c r="A2" s="2" t="inlineStr">
        <is>
          <t>Per-CoCo metric values (Capital IQ / Bloomberg). Cols A-D mirror Inputs. Cols E onward are manual data entry. Summary stats compute below.</t>
        </is>
      </c>
    </row>
    <row r="4">
      <c r="A4" s="21" t="inlineStr">
        <is>
          <t>Tier</t>
        </is>
      </c>
      <c r="B4" s="21" t="inlineStr">
        <is>
          <t>Include</t>
        </is>
      </c>
      <c r="C4" s="21" t="inlineStr">
        <is>
          <t>Company</t>
        </is>
      </c>
      <c r="D4" s="21" t="inlineStr">
        <is>
          <t>Ticker</t>
        </is>
      </c>
      <c r="E4" s="21" t="inlineStr">
        <is>
          <t>Gross margin</t>
        </is>
      </c>
      <c r="F4" s="21" t="inlineStr">
        <is>
          <t>EBIT margin</t>
        </is>
      </c>
      <c r="G4" s="21" t="inlineStr">
        <is>
          <t>Net margin</t>
        </is>
      </c>
    </row>
    <row r="6">
      <c r="A6" s="33">
        <f>Inputs!A127</f>
        <v/>
      </c>
      <c r="B6" s="33">
        <f>Inputs!B127</f>
        <v/>
      </c>
      <c r="C6" s="33">
        <f>Inputs!C127</f>
        <v/>
      </c>
      <c r="D6" s="33">
        <f>Inputs!D127</f>
        <v/>
      </c>
      <c r="E6" s="63" t="n"/>
      <c r="F6" s="63" t="n"/>
      <c r="G6" s="63" t="n"/>
    </row>
    <row r="7">
      <c r="A7" s="33">
        <f>Inputs!A128</f>
        <v/>
      </c>
      <c r="B7" s="33">
        <f>Inputs!B128</f>
        <v/>
      </c>
      <c r="C7" s="33">
        <f>Inputs!C128</f>
        <v/>
      </c>
      <c r="D7" s="33">
        <f>Inputs!D128</f>
        <v/>
      </c>
      <c r="E7" s="63" t="n"/>
      <c r="F7" s="63" t="n"/>
      <c r="G7" s="63" t="n"/>
    </row>
    <row r="8">
      <c r="A8" s="33">
        <f>Inputs!A129</f>
        <v/>
      </c>
      <c r="B8" s="33">
        <f>Inputs!B129</f>
        <v/>
      </c>
      <c r="C8" s="33">
        <f>Inputs!C129</f>
        <v/>
      </c>
      <c r="D8" s="33">
        <f>Inputs!D129</f>
        <v/>
      </c>
      <c r="E8" s="63" t="n"/>
      <c r="F8" s="63" t="n"/>
      <c r="G8" s="63" t="n"/>
    </row>
    <row r="9">
      <c r="A9" s="33">
        <f>Inputs!A130</f>
        <v/>
      </c>
      <c r="B9" s="33">
        <f>Inputs!B130</f>
        <v/>
      </c>
      <c r="C9" s="33">
        <f>Inputs!C130</f>
        <v/>
      </c>
      <c r="D9" s="33">
        <f>Inputs!D130</f>
        <v/>
      </c>
      <c r="E9" s="63" t="n"/>
      <c r="F9" s="63" t="n"/>
      <c r="G9" s="63" t="n"/>
    </row>
    <row r="10">
      <c r="A10" s="33">
        <f>Inputs!A131</f>
        <v/>
      </c>
      <c r="B10" s="33">
        <f>Inputs!B131</f>
        <v/>
      </c>
      <c r="C10" s="33">
        <f>Inputs!C131</f>
        <v/>
      </c>
      <c r="D10" s="33">
        <f>Inputs!D131</f>
        <v/>
      </c>
      <c r="E10" s="63" t="n"/>
      <c r="F10" s="63" t="n"/>
      <c r="G10" s="63" t="n"/>
    </row>
    <row r="11">
      <c r="A11" s="33">
        <f>Inputs!A132</f>
        <v/>
      </c>
      <c r="B11" s="33">
        <f>Inputs!B132</f>
        <v/>
      </c>
      <c r="C11" s="33">
        <f>Inputs!C132</f>
        <v/>
      </c>
      <c r="D11" s="33">
        <f>Inputs!D132</f>
        <v/>
      </c>
      <c r="E11" s="63" t="n"/>
      <c r="F11" s="63" t="n"/>
      <c r="G11" s="63" t="n"/>
    </row>
    <row r="12">
      <c r="A12" s="33">
        <f>Inputs!A133</f>
        <v/>
      </c>
      <c r="B12" s="33">
        <f>Inputs!B133</f>
        <v/>
      </c>
      <c r="C12" s="33">
        <f>Inputs!C133</f>
        <v/>
      </c>
      <c r="D12" s="33">
        <f>Inputs!D133</f>
        <v/>
      </c>
      <c r="E12" s="63" t="n"/>
      <c r="F12" s="63" t="n"/>
      <c r="G12" s="63" t="n"/>
    </row>
    <row r="13">
      <c r="A13" s="33">
        <f>Inputs!A134</f>
        <v/>
      </c>
      <c r="B13" s="33">
        <f>Inputs!B134</f>
        <v/>
      </c>
      <c r="C13" s="33">
        <f>Inputs!C134</f>
        <v/>
      </c>
      <c r="D13" s="33">
        <f>Inputs!D134</f>
        <v/>
      </c>
      <c r="E13" s="63" t="n"/>
      <c r="F13" s="63" t="n"/>
      <c r="G13" s="63" t="n"/>
    </row>
    <row r="14">
      <c r="A14" s="33">
        <f>Inputs!A135</f>
        <v/>
      </c>
      <c r="B14" s="33">
        <f>Inputs!B135</f>
        <v/>
      </c>
      <c r="C14" s="33">
        <f>Inputs!C135</f>
        <v/>
      </c>
      <c r="D14" s="33">
        <f>Inputs!D135</f>
        <v/>
      </c>
      <c r="E14" s="63" t="n"/>
      <c r="F14" s="63" t="n"/>
      <c r="G14" s="63" t="n"/>
    </row>
    <row r="15">
      <c r="A15" s="33">
        <f>Inputs!A136</f>
        <v/>
      </c>
      <c r="B15" s="33">
        <f>Inputs!B136</f>
        <v/>
      </c>
      <c r="C15" s="33">
        <f>Inputs!C136</f>
        <v/>
      </c>
      <c r="D15" s="33">
        <f>Inputs!D136</f>
        <v/>
      </c>
      <c r="E15" s="63" t="n"/>
      <c r="F15" s="63" t="n"/>
      <c r="G15" s="63" t="n"/>
    </row>
    <row r="16">
      <c r="A16" s="33">
        <f>Inputs!A137</f>
        <v/>
      </c>
      <c r="B16" s="33">
        <f>Inputs!B137</f>
        <v/>
      </c>
      <c r="C16" s="33">
        <f>Inputs!C137</f>
        <v/>
      </c>
      <c r="D16" s="33">
        <f>Inputs!D137</f>
        <v/>
      </c>
      <c r="E16" s="63" t="n"/>
      <c r="F16" s="63" t="n"/>
      <c r="G16" s="63" t="n"/>
    </row>
    <row r="17">
      <c r="A17" s="33">
        <f>Inputs!A138</f>
        <v/>
      </c>
      <c r="B17" s="33">
        <f>Inputs!B138</f>
        <v/>
      </c>
      <c r="C17" s="33">
        <f>Inputs!C138</f>
        <v/>
      </c>
      <c r="D17" s="33">
        <f>Inputs!D138</f>
        <v/>
      </c>
      <c r="E17" s="63" t="n"/>
      <c r="F17" s="63" t="n"/>
      <c r="G17" s="63" t="n"/>
    </row>
    <row r="18">
      <c r="A18" s="33">
        <f>Inputs!A139</f>
        <v/>
      </c>
      <c r="B18" s="33">
        <f>Inputs!B139</f>
        <v/>
      </c>
      <c r="C18" s="33">
        <f>Inputs!C139</f>
        <v/>
      </c>
      <c r="D18" s="33">
        <f>Inputs!D139</f>
        <v/>
      </c>
      <c r="E18" s="63" t="n"/>
      <c r="F18" s="63" t="n"/>
      <c r="G18" s="63" t="n"/>
    </row>
    <row r="19">
      <c r="A19" s="33">
        <f>Inputs!A140</f>
        <v/>
      </c>
      <c r="B19" s="33">
        <f>Inputs!B140</f>
        <v/>
      </c>
      <c r="C19" s="33">
        <f>Inputs!C140</f>
        <v/>
      </c>
      <c r="D19" s="33">
        <f>Inputs!D140</f>
        <v/>
      </c>
      <c r="E19" s="63" t="n"/>
      <c r="F19" s="63" t="n"/>
      <c r="G19" s="63" t="n"/>
    </row>
    <row r="20">
      <c r="A20" s="33">
        <f>Inputs!A141</f>
        <v/>
      </c>
      <c r="B20" s="33">
        <f>Inputs!B141</f>
        <v/>
      </c>
      <c r="C20" s="33">
        <f>Inputs!C141</f>
        <v/>
      </c>
      <c r="D20" s="33">
        <f>Inputs!D141</f>
        <v/>
      </c>
      <c r="E20" s="63" t="n"/>
      <c r="F20" s="63" t="n"/>
      <c r="G20" s="63" t="n"/>
    </row>
    <row r="21">
      <c r="A21" s="33">
        <f>Inputs!A142</f>
        <v/>
      </c>
      <c r="B21" s="33">
        <f>Inputs!B142</f>
        <v/>
      </c>
      <c r="C21" s="33">
        <f>Inputs!C142</f>
        <v/>
      </c>
      <c r="D21" s="33">
        <f>Inputs!D142</f>
        <v/>
      </c>
      <c r="E21" s="63" t="n"/>
      <c r="F21" s="63" t="n"/>
      <c r="G21" s="63" t="n"/>
    </row>
    <row r="22">
      <c r="A22" s="33">
        <f>Inputs!A143</f>
        <v/>
      </c>
      <c r="B22" s="33">
        <f>Inputs!B143</f>
        <v/>
      </c>
      <c r="C22" s="33">
        <f>Inputs!C143</f>
        <v/>
      </c>
      <c r="D22" s="33">
        <f>Inputs!D143</f>
        <v/>
      </c>
      <c r="E22" s="63" t="n"/>
      <c r="F22" s="63" t="n"/>
      <c r="G22" s="63" t="n"/>
    </row>
    <row r="23">
      <c r="A23" s="33">
        <f>Inputs!A144</f>
        <v/>
      </c>
      <c r="B23" s="33">
        <f>Inputs!B144</f>
        <v/>
      </c>
      <c r="C23" s="33">
        <f>Inputs!C144</f>
        <v/>
      </c>
      <c r="D23" s="33">
        <f>Inputs!D144</f>
        <v/>
      </c>
      <c r="E23" s="63" t="n"/>
      <c r="F23" s="63" t="n"/>
      <c r="G23" s="63" t="n"/>
    </row>
    <row r="24">
      <c r="A24" s="33">
        <f>Inputs!A145</f>
        <v/>
      </c>
      <c r="B24" s="33">
        <f>Inputs!B145</f>
        <v/>
      </c>
      <c r="C24" s="33">
        <f>Inputs!C145</f>
        <v/>
      </c>
      <c r="D24" s="33">
        <f>Inputs!D145</f>
        <v/>
      </c>
      <c r="E24" s="63" t="n"/>
      <c r="F24" s="63" t="n"/>
      <c r="G24" s="63" t="n"/>
    </row>
    <row r="25">
      <c r="A25" s="33">
        <f>Inputs!A146</f>
        <v/>
      </c>
      <c r="B25" s="33">
        <f>Inputs!B146</f>
        <v/>
      </c>
      <c r="C25" s="33">
        <f>Inputs!C146</f>
        <v/>
      </c>
      <c r="D25" s="33">
        <f>Inputs!D146</f>
        <v/>
      </c>
      <c r="E25" s="63" t="n"/>
      <c r="F25" s="63" t="n"/>
      <c r="G25" s="63" t="n"/>
    </row>
    <row r="26">
      <c r="A26" s="33">
        <f>Inputs!A147</f>
        <v/>
      </c>
      <c r="B26" s="33">
        <f>Inputs!B147</f>
        <v/>
      </c>
      <c r="C26" s="33">
        <f>Inputs!C147</f>
        <v/>
      </c>
      <c r="D26" s="33">
        <f>Inputs!D147</f>
        <v/>
      </c>
      <c r="E26" s="63" t="n"/>
      <c r="F26" s="63" t="n"/>
      <c r="G26" s="63" t="n"/>
    </row>
    <row r="27">
      <c r="A27" s="33">
        <f>Inputs!A148</f>
        <v/>
      </c>
      <c r="B27" s="33">
        <f>Inputs!B148</f>
        <v/>
      </c>
      <c r="C27" s="33">
        <f>Inputs!C148</f>
        <v/>
      </c>
      <c r="D27" s="33">
        <f>Inputs!D148</f>
        <v/>
      </c>
      <c r="E27" s="63" t="n"/>
      <c r="F27" s="63" t="n"/>
      <c r="G27" s="63" t="n"/>
    </row>
    <row r="28">
      <c r="A28" s="33">
        <f>Inputs!A149</f>
        <v/>
      </c>
      <c r="B28" s="33">
        <f>Inputs!B149</f>
        <v/>
      </c>
      <c r="C28" s="33">
        <f>Inputs!C149</f>
        <v/>
      </c>
      <c r="D28" s="33">
        <f>Inputs!D149</f>
        <v/>
      </c>
      <c r="E28" s="63" t="n"/>
      <c r="F28" s="63" t="n"/>
      <c r="G28" s="63" t="n"/>
    </row>
    <row r="29">
      <c r="A29" s="33">
        <f>Inputs!A150</f>
        <v/>
      </c>
      <c r="B29" s="33">
        <f>Inputs!B150</f>
        <v/>
      </c>
      <c r="C29" s="33">
        <f>Inputs!C150</f>
        <v/>
      </c>
      <c r="D29" s="33">
        <f>Inputs!D150</f>
        <v/>
      </c>
      <c r="E29" s="63" t="n"/>
      <c r="F29" s="63" t="n"/>
      <c r="G29" s="63" t="n"/>
    </row>
    <row r="30">
      <c r="A30" s="33">
        <f>Inputs!A151</f>
        <v/>
      </c>
      <c r="B30" s="33">
        <f>Inputs!B151</f>
        <v/>
      </c>
      <c r="C30" s="33">
        <f>Inputs!C151</f>
        <v/>
      </c>
      <c r="D30" s="33">
        <f>Inputs!D151</f>
        <v/>
      </c>
      <c r="E30" s="63" t="n"/>
      <c r="F30" s="63" t="n"/>
      <c r="G30" s="63" t="n"/>
    </row>
    <row r="31">
      <c r="A31" s="33">
        <f>Inputs!A152</f>
        <v/>
      </c>
      <c r="B31" s="33">
        <f>Inputs!B152</f>
        <v/>
      </c>
      <c r="C31" s="33">
        <f>Inputs!C152</f>
        <v/>
      </c>
      <c r="D31" s="33">
        <f>Inputs!D152</f>
        <v/>
      </c>
      <c r="E31" s="63" t="n"/>
      <c r="F31" s="63" t="n"/>
      <c r="G31" s="63" t="n"/>
    </row>
    <row r="32">
      <c r="A32" s="33">
        <f>Inputs!A153</f>
        <v/>
      </c>
      <c r="B32" s="33">
        <f>Inputs!B153</f>
        <v/>
      </c>
      <c r="C32" s="33">
        <f>Inputs!C153</f>
        <v/>
      </c>
      <c r="D32" s="33">
        <f>Inputs!D153</f>
        <v/>
      </c>
      <c r="E32" s="63" t="n"/>
      <c r="F32" s="63" t="n"/>
      <c r="G32" s="63" t="n"/>
    </row>
    <row r="33">
      <c r="A33" s="33">
        <f>Inputs!A154</f>
        <v/>
      </c>
      <c r="B33" s="33">
        <f>Inputs!B154</f>
        <v/>
      </c>
      <c r="C33" s="33">
        <f>Inputs!C154</f>
        <v/>
      </c>
      <c r="D33" s="33">
        <f>Inputs!D154</f>
        <v/>
      </c>
      <c r="E33" s="63" t="n"/>
      <c r="F33" s="63" t="n"/>
      <c r="G33" s="63" t="n"/>
    </row>
    <row r="34">
      <c r="A34" s="33">
        <f>Inputs!A155</f>
        <v/>
      </c>
      <c r="B34" s="33">
        <f>Inputs!B155</f>
        <v/>
      </c>
      <c r="C34" s="33">
        <f>Inputs!C155</f>
        <v/>
      </c>
      <c r="D34" s="33">
        <f>Inputs!D155</f>
        <v/>
      </c>
      <c r="E34" s="63" t="n"/>
      <c r="F34" s="63" t="n"/>
      <c r="G34" s="63" t="n"/>
    </row>
    <row r="35">
      <c r="A35" s="33">
        <f>Inputs!A156</f>
        <v/>
      </c>
      <c r="B35" s="33">
        <f>Inputs!B156</f>
        <v/>
      </c>
      <c r="C35" s="33">
        <f>Inputs!C156</f>
        <v/>
      </c>
      <c r="D35" s="33">
        <f>Inputs!D156</f>
        <v/>
      </c>
      <c r="E35" s="63" t="n"/>
      <c r="F35" s="63" t="n"/>
      <c r="G35" s="63" t="n"/>
    </row>
    <row r="37">
      <c r="D37" s="43" t="inlineStr">
        <is>
          <t>Maximum</t>
        </is>
      </c>
      <c r="E37" s="64">
        <f>IFERROR(MAX(E6:E35),"n/a")</f>
        <v/>
      </c>
      <c r="F37" s="64">
        <f>IFERROR(MAX(F6:F35),"n/a")</f>
        <v/>
      </c>
      <c r="G37" s="64">
        <f>IFERROR(MAX(G6:G35),"n/a")</f>
        <v/>
      </c>
    </row>
    <row r="38">
      <c r="D38" s="43" t="inlineStr">
        <is>
          <t>Q3 (75%)</t>
        </is>
      </c>
      <c r="E38" s="64">
        <f>IFERROR(QUARTILE(E6:E35,3),"n/a")</f>
        <v/>
      </c>
      <c r="F38" s="64">
        <f>IFERROR(QUARTILE(F6:F35,3),"n/a")</f>
        <v/>
      </c>
      <c r="G38" s="64">
        <f>IFERROR(QUARTILE(G6:G35,3),"n/a")</f>
        <v/>
      </c>
    </row>
    <row r="39">
      <c r="D39" s="43" t="inlineStr">
        <is>
          <t>Median</t>
        </is>
      </c>
      <c r="E39" s="65">
        <f>IFERROR(MEDIAN(E6:E35),"n/a")</f>
        <v/>
      </c>
      <c r="F39" s="65">
        <f>IFERROR(MEDIAN(F6:F35),"n/a")</f>
        <v/>
      </c>
      <c r="G39" s="65">
        <f>IFERROR(MEDIAN(G6:G35),"n/a")</f>
        <v/>
      </c>
    </row>
    <row r="40">
      <c r="D40" s="43" t="inlineStr">
        <is>
          <t>Mean</t>
        </is>
      </c>
      <c r="E40" s="64">
        <f>IFERROR(AVERAGE(E6:E35),"n/a")</f>
        <v/>
      </c>
      <c r="F40" s="64">
        <f>IFERROR(AVERAGE(F6:F35),"n/a")</f>
        <v/>
      </c>
      <c r="G40" s="64">
        <f>IFERROR(AVERAGE(G6:G35),"n/a")</f>
        <v/>
      </c>
    </row>
    <row r="41">
      <c r="D41" s="43" t="inlineStr">
        <is>
          <t>Q1 (25%)</t>
        </is>
      </c>
      <c r="E41" s="64">
        <f>IFERROR(QUARTILE(E6:E35,1),"n/a")</f>
        <v/>
      </c>
      <c r="F41" s="64">
        <f>IFERROR(QUARTILE(F6:F35,1),"n/a")</f>
        <v/>
      </c>
      <c r="G41" s="64">
        <f>IFERROR(QUARTILE(G6:G35,1),"n/a")</f>
        <v/>
      </c>
    </row>
    <row r="42">
      <c r="D42" s="43" t="inlineStr">
        <is>
          <t>Minimum</t>
        </is>
      </c>
      <c r="E42" s="64">
        <f>IFERROR(MIN(E6:E35),"n/a")</f>
        <v/>
      </c>
      <c r="F42" s="64">
        <f>IFERROR(MIN(F6:F35),"n/a")</f>
        <v/>
      </c>
      <c r="G42" s="64">
        <f>IFERROR(MIN(G6:G35),"n/a")</f>
        <v/>
      </c>
    </row>
    <row r="44">
      <c r="D44" s="3" t="inlineStr">
        <is>
          <t>Tier-filtered (include=TRUE)</t>
        </is>
      </c>
    </row>
    <row r="45">
      <c r="D45" s="4" t="inlineStr">
        <is>
          <t>Tier 1 mean</t>
        </is>
      </c>
      <c r="E45" s="42">
        <f>IFERROR(AVERAGEIFS(E6:E35,$A$6:$A$35,1,$B$6:$B$35,TRUE),"n/a")</f>
        <v/>
      </c>
      <c r="F45" s="42">
        <f>IFERROR(AVERAGEIFS(F6:F35,$A$6:$A$35,1,$B$6:$B$35,TRUE),"n/a")</f>
        <v/>
      </c>
      <c r="G45" s="42">
        <f>IFERROR(AVERAGEIFS(G6:G35,$A$6:$A$35,1,$B$6:$B$35,TRUE),"n/a")</f>
        <v/>
      </c>
    </row>
    <row r="46">
      <c r="D46" s="4" t="inlineStr">
        <is>
          <t>Tier 2 mean</t>
        </is>
      </c>
      <c r="E46" s="42">
        <f>IFERROR(AVERAGEIFS(E6:E35,$A$6:$A$35,2,$B$6:$B$35,TRUE),"n/a")</f>
        <v/>
      </c>
      <c r="F46" s="42">
        <f>IFERROR(AVERAGEIFS(F6:F35,$A$6:$A$35,2,$B$6:$B$35,TRUE),"n/a")</f>
        <v/>
      </c>
      <c r="G46" s="42">
        <f>IFERROR(AVERAGEIFS(G6:G35,$A$6:$A$35,2,$B$6:$B$35,TRUE),"n/a")</f>
        <v/>
      </c>
    </row>
    <row r="47">
      <c r="D47" s="4" t="inlineStr">
        <is>
          <t>Tier 3 mean</t>
        </is>
      </c>
      <c r="E47" s="42">
        <f>IFERROR(AVERAGEIFS(E6:E35,$A$6:$A$35,3,$B$6:$B$35,TRUE),"n/a")</f>
        <v/>
      </c>
      <c r="F47" s="42">
        <f>IFERROR(AVERAGEIFS(F6:F35,$A$6:$A$35,3,$B$6:$B$35,TRUE),"n/a")</f>
        <v/>
      </c>
      <c r="G47" s="42">
        <f>IFERROR(AVERAGEIFS(G6:G35,$A$6:$A$35,3,$B$6:$B$35,TRUE),"n/a")</f>
        <v/>
      </c>
    </row>
  </sheetData>
  <mergeCells count="2">
    <mergeCell ref="A2:G2"/>
    <mergeCell ref="A1:H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cols>
    <col width="8" customWidth="1" min="1" max="1"/>
    <col width="10" customWidth="1" min="2" max="2"/>
    <col width="24" customWidth="1" min="3" max="3"/>
    <col width="14" customWidth="1" min="4" max="4"/>
    <col width="14" customWidth="1" min="5" max="5"/>
    <col width="14" customWidth="1" min="6" max="6"/>
    <col width="14" customWidth="1" min="7" max="7"/>
    <col width="14" customWidth="1" min="8" max="8"/>
  </cols>
  <sheetData>
    <row r="1" ht="22" customHeight="1">
      <c r="A1" s="1" t="inlineStr">
        <is>
          <t>CoCo Ratios — financial ratios per comparable</t>
        </is>
      </c>
    </row>
    <row r="2">
      <c r="A2" s="2" t="inlineStr">
        <is>
          <t>Per-CoCo metric values (Capital IQ / Bloomberg). Cols A-D mirror Inputs. Cols E onward are manual data entry. Summary stats compute below.</t>
        </is>
      </c>
    </row>
    <row r="4">
      <c r="A4" s="21" t="inlineStr">
        <is>
          <t>Tier</t>
        </is>
      </c>
      <c r="B4" s="21" t="inlineStr">
        <is>
          <t>Include</t>
        </is>
      </c>
      <c r="C4" s="21" t="inlineStr">
        <is>
          <t>Company</t>
        </is>
      </c>
      <c r="D4" s="21" t="inlineStr">
        <is>
          <t>Ticker</t>
        </is>
      </c>
      <c r="E4" s="21" t="inlineStr">
        <is>
          <t>ROE</t>
        </is>
      </c>
      <c r="F4" s="21" t="inlineStr">
        <is>
          <t>ROA</t>
        </is>
      </c>
      <c r="G4" s="21" t="inlineStr">
        <is>
          <t>D/E</t>
        </is>
      </c>
      <c r="H4" s="21" t="inlineStr">
        <is>
          <t>Current ratio</t>
        </is>
      </c>
    </row>
    <row r="6">
      <c r="A6" s="33">
        <f>Inputs!A127</f>
        <v/>
      </c>
      <c r="B6" s="33">
        <f>Inputs!B127</f>
        <v/>
      </c>
      <c r="C6" s="33">
        <f>Inputs!C127</f>
        <v/>
      </c>
      <c r="D6" s="33">
        <f>Inputs!D127</f>
        <v/>
      </c>
      <c r="E6" s="63" t="n"/>
      <c r="F6" s="63" t="n"/>
      <c r="G6" s="56" t="n"/>
      <c r="H6" s="56" t="n"/>
    </row>
    <row r="7">
      <c r="A7" s="33">
        <f>Inputs!A128</f>
        <v/>
      </c>
      <c r="B7" s="33">
        <f>Inputs!B128</f>
        <v/>
      </c>
      <c r="C7" s="33">
        <f>Inputs!C128</f>
        <v/>
      </c>
      <c r="D7" s="33">
        <f>Inputs!D128</f>
        <v/>
      </c>
      <c r="E7" s="63" t="n"/>
      <c r="F7" s="63" t="n"/>
      <c r="G7" s="56" t="n"/>
      <c r="H7" s="56" t="n"/>
    </row>
    <row r="8">
      <c r="A8" s="33">
        <f>Inputs!A129</f>
        <v/>
      </c>
      <c r="B8" s="33">
        <f>Inputs!B129</f>
        <v/>
      </c>
      <c r="C8" s="33">
        <f>Inputs!C129</f>
        <v/>
      </c>
      <c r="D8" s="33">
        <f>Inputs!D129</f>
        <v/>
      </c>
      <c r="E8" s="63" t="n"/>
      <c r="F8" s="63" t="n"/>
      <c r="G8" s="56" t="n"/>
      <c r="H8" s="56" t="n"/>
    </row>
    <row r="9">
      <c r="A9" s="33">
        <f>Inputs!A130</f>
        <v/>
      </c>
      <c r="B9" s="33">
        <f>Inputs!B130</f>
        <v/>
      </c>
      <c r="C9" s="33">
        <f>Inputs!C130</f>
        <v/>
      </c>
      <c r="D9" s="33">
        <f>Inputs!D130</f>
        <v/>
      </c>
      <c r="E9" s="63" t="n"/>
      <c r="F9" s="63" t="n"/>
      <c r="G9" s="56" t="n"/>
      <c r="H9" s="56" t="n"/>
    </row>
    <row r="10">
      <c r="A10" s="33">
        <f>Inputs!A131</f>
        <v/>
      </c>
      <c r="B10" s="33">
        <f>Inputs!B131</f>
        <v/>
      </c>
      <c r="C10" s="33">
        <f>Inputs!C131</f>
        <v/>
      </c>
      <c r="D10" s="33">
        <f>Inputs!D131</f>
        <v/>
      </c>
      <c r="E10" s="63" t="n"/>
      <c r="F10" s="63" t="n"/>
      <c r="G10" s="56" t="n"/>
      <c r="H10" s="56" t="n"/>
    </row>
    <row r="11">
      <c r="A11" s="33">
        <f>Inputs!A132</f>
        <v/>
      </c>
      <c r="B11" s="33">
        <f>Inputs!B132</f>
        <v/>
      </c>
      <c r="C11" s="33">
        <f>Inputs!C132</f>
        <v/>
      </c>
      <c r="D11" s="33">
        <f>Inputs!D132</f>
        <v/>
      </c>
      <c r="E11" s="63" t="n"/>
      <c r="F11" s="63" t="n"/>
      <c r="G11" s="56" t="n"/>
      <c r="H11" s="56" t="n"/>
    </row>
    <row r="12">
      <c r="A12" s="33">
        <f>Inputs!A133</f>
        <v/>
      </c>
      <c r="B12" s="33">
        <f>Inputs!B133</f>
        <v/>
      </c>
      <c r="C12" s="33">
        <f>Inputs!C133</f>
        <v/>
      </c>
      <c r="D12" s="33">
        <f>Inputs!D133</f>
        <v/>
      </c>
      <c r="E12" s="63" t="n"/>
      <c r="F12" s="63" t="n"/>
      <c r="G12" s="56" t="n"/>
      <c r="H12" s="56" t="n"/>
    </row>
    <row r="13">
      <c r="A13" s="33">
        <f>Inputs!A134</f>
        <v/>
      </c>
      <c r="B13" s="33">
        <f>Inputs!B134</f>
        <v/>
      </c>
      <c r="C13" s="33">
        <f>Inputs!C134</f>
        <v/>
      </c>
      <c r="D13" s="33">
        <f>Inputs!D134</f>
        <v/>
      </c>
      <c r="E13" s="63" t="n"/>
      <c r="F13" s="63" t="n"/>
      <c r="G13" s="56" t="n"/>
      <c r="H13" s="56" t="n"/>
    </row>
    <row r="14">
      <c r="A14" s="33">
        <f>Inputs!A135</f>
        <v/>
      </c>
      <c r="B14" s="33">
        <f>Inputs!B135</f>
        <v/>
      </c>
      <c r="C14" s="33">
        <f>Inputs!C135</f>
        <v/>
      </c>
      <c r="D14" s="33">
        <f>Inputs!D135</f>
        <v/>
      </c>
      <c r="E14" s="63" t="n"/>
      <c r="F14" s="63" t="n"/>
      <c r="G14" s="56" t="n"/>
      <c r="H14" s="56" t="n"/>
    </row>
    <row r="15">
      <c r="A15" s="33">
        <f>Inputs!A136</f>
        <v/>
      </c>
      <c r="B15" s="33">
        <f>Inputs!B136</f>
        <v/>
      </c>
      <c r="C15" s="33">
        <f>Inputs!C136</f>
        <v/>
      </c>
      <c r="D15" s="33">
        <f>Inputs!D136</f>
        <v/>
      </c>
      <c r="E15" s="63" t="n"/>
      <c r="F15" s="63" t="n"/>
      <c r="G15" s="56" t="n"/>
      <c r="H15" s="56" t="n"/>
    </row>
    <row r="16">
      <c r="A16" s="33">
        <f>Inputs!A137</f>
        <v/>
      </c>
      <c r="B16" s="33">
        <f>Inputs!B137</f>
        <v/>
      </c>
      <c r="C16" s="33">
        <f>Inputs!C137</f>
        <v/>
      </c>
      <c r="D16" s="33">
        <f>Inputs!D137</f>
        <v/>
      </c>
      <c r="E16" s="63" t="n"/>
      <c r="F16" s="63" t="n"/>
      <c r="G16" s="56" t="n"/>
      <c r="H16" s="56" t="n"/>
    </row>
    <row r="17">
      <c r="A17" s="33">
        <f>Inputs!A138</f>
        <v/>
      </c>
      <c r="B17" s="33">
        <f>Inputs!B138</f>
        <v/>
      </c>
      <c r="C17" s="33">
        <f>Inputs!C138</f>
        <v/>
      </c>
      <c r="D17" s="33">
        <f>Inputs!D138</f>
        <v/>
      </c>
      <c r="E17" s="63" t="n"/>
      <c r="F17" s="63" t="n"/>
      <c r="G17" s="56" t="n"/>
      <c r="H17" s="56" t="n"/>
    </row>
    <row r="18">
      <c r="A18" s="33">
        <f>Inputs!A139</f>
        <v/>
      </c>
      <c r="B18" s="33">
        <f>Inputs!B139</f>
        <v/>
      </c>
      <c r="C18" s="33">
        <f>Inputs!C139</f>
        <v/>
      </c>
      <c r="D18" s="33">
        <f>Inputs!D139</f>
        <v/>
      </c>
      <c r="E18" s="63" t="n"/>
      <c r="F18" s="63" t="n"/>
      <c r="G18" s="56" t="n"/>
      <c r="H18" s="56" t="n"/>
    </row>
    <row r="19">
      <c r="A19" s="33">
        <f>Inputs!A140</f>
        <v/>
      </c>
      <c r="B19" s="33">
        <f>Inputs!B140</f>
        <v/>
      </c>
      <c r="C19" s="33">
        <f>Inputs!C140</f>
        <v/>
      </c>
      <c r="D19" s="33">
        <f>Inputs!D140</f>
        <v/>
      </c>
      <c r="E19" s="63" t="n"/>
      <c r="F19" s="63" t="n"/>
      <c r="G19" s="56" t="n"/>
      <c r="H19" s="56" t="n"/>
    </row>
    <row r="20">
      <c r="A20" s="33">
        <f>Inputs!A141</f>
        <v/>
      </c>
      <c r="B20" s="33">
        <f>Inputs!B141</f>
        <v/>
      </c>
      <c r="C20" s="33">
        <f>Inputs!C141</f>
        <v/>
      </c>
      <c r="D20" s="33">
        <f>Inputs!D141</f>
        <v/>
      </c>
      <c r="E20" s="63" t="n"/>
      <c r="F20" s="63" t="n"/>
      <c r="G20" s="56" t="n"/>
      <c r="H20" s="56" t="n"/>
    </row>
    <row r="21">
      <c r="A21" s="33">
        <f>Inputs!A142</f>
        <v/>
      </c>
      <c r="B21" s="33">
        <f>Inputs!B142</f>
        <v/>
      </c>
      <c r="C21" s="33">
        <f>Inputs!C142</f>
        <v/>
      </c>
      <c r="D21" s="33">
        <f>Inputs!D142</f>
        <v/>
      </c>
      <c r="E21" s="63" t="n"/>
      <c r="F21" s="63" t="n"/>
      <c r="G21" s="56" t="n"/>
      <c r="H21" s="56" t="n"/>
    </row>
    <row r="22">
      <c r="A22" s="33">
        <f>Inputs!A143</f>
        <v/>
      </c>
      <c r="B22" s="33">
        <f>Inputs!B143</f>
        <v/>
      </c>
      <c r="C22" s="33">
        <f>Inputs!C143</f>
        <v/>
      </c>
      <c r="D22" s="33">
        <f>Inputs!D143</f>
        <v/>
      </c>
      <c r="E22" s="63" t="n"/>
      <c r="F22" s="63" t="n"/>
      <c r="G22" s="56" t="n"/>
      <c r="H22" s="56" t="n"/>
    </row>
    <row r="23">
      <c r="A23" s="33">
        <f>Inputs!A144</f>
        <v/>
      </c>
      <c r="B23" s="33">
        <f>Inputs!B144</f>
        <v/>
      </c>
      <c r="C23" s="33">
        <f>Inputs!C144</f>
        <v/>
      </c>
      <c r="D23" s="33">
        <f>Inputs!D144</f>
        <v/>
      </c>
      <c r="E23" s="63" t="n"/>
      <c r="F23" s="63" t="n"/>
      <c r="G23" s="56" t="n"/>
      <c r="H23" s="56" t="n"/>
    </row>
    <row r="24">
      <c r="A24" s="33">
        <f>Inputs!A145</f>
        <v/>
      </c>
      <c r="B24" s="33">
        <f>Inputs!B145</f>
        <v/>
      </c>
      <c r="C24" s="33">
        <f>Inputs!C145</f>
        <v/>
      </c>
      <c r="D24" s="33">
        <f>Inputs!D145</f>
        <v/>
      </c>
      <c r="E24" s="63" t="n"/>
      <c r="F24" s="63" t="n"/>
      <c r="G24" s="56" t="n"/>
      <c r="H24" s="56" t="n"/>
    </row>
    <row r="25">
      <c r="A25" s="33">
        <f>Inputs!A146</f>
        <v/>
      </c>
      <c r="B25" s="33">
        <f>Inputs!B146</f>
        <v/>
      </c>
      <c r="C25" s="33">
        <f>Inputs!C146</f>
        <v/>
      </c>
      <c r="D25" s="33">
        <f>Inputs!D146</f>
        <v/>
      </c>
      <c r="E25" s="63" t="n"/>
      <c r="F25" s="63" t="n"/>
      <c r="G25" s="56" t="n"/>
      <c r="H25" s="56" t="n"/>
    </row>
    <row r="26">
      <c r="A26" s="33">
        <f>Inputs!A147</f>
        <v/>
      </c>
      <c r="B26" s="33">
        <f>Inputs!B147</f>
        <v/>
      </c>
      <c r="C26" s="33">
        <f>Inputs!C147</f>
        <v/>
      </c>
      <c r="D26" s="33">
        <f>Inputs!D147</f>
        <v/>
      </c>
      <c r="E26" s="63" t="n"/>
      <c r="F26" s="63" t="n"/>
      <c r="G26" s="56" t="n"/>
      <c r="H26" s="56" t="n"/>
    </row>
    <row r="27">
      <c r="A27" s="33">
        <f>Inputs!A148</f>
        <v/>
      </c>
      <c r="B27" s="33">
        <f>Inputs!B148</f>
        <v/>
      </c>
      <c r="C27" s="33">
        <f>Inputs!C148</f>
        <v/>
      </c>
      <c r="D27" s="33">
        <f>Inputs!D148</f>
        <v/>
      </c>
      <c r="E27" s="63" t="n"/>
      <c r="F27" s="63" t="n"/>
      <c r="G27" s="56" t="n"/>
      <c r="H27" s="56" t="n"/>
    </row>
    <row r="28">
      <c r="A28" s="33">
        <f>Inputs!A149</f>
        <v/>
      </c>
      <c r="B28" s="33">
        <f>Inputs!B149</f>
        <v/>
      </c>
      <c r="C28" s="33">
        <f>Inputs!C149</f>
        <v/>
      </c>
      <c r="D28" s="33">
        <f>Inputs!D149</f>
        <v/>
      </c>
      <c r="E28" s="63" t="n"/>
      <c r="F28" s="63" t="n"/>
      <c r="G28" s="56" t="n"/>
      <c r="H28" s="56" t="n"/>
    </row>
    <row r="29">
      <c r="A29" s="33">
        <f>Inputs!A150</f>
        <v/>
      </c>
      <c r="B29" s="33">
        <f>Inputs!B150</f>
        <v/>
      </c>
      <c r="C29" s="33">
        <f>Inputs!C150</f>
        <v/>
      </c>
      <c r="D29" s="33">
        <f>Inputs!D150</f>
        <v/>
      </c>
      <c r="E29" s="63" t="n"/>
      <c r="F29" s="63" t="n"/>
      <c r="G29" s="56" t="n"/>
      <c r="H29" s="56" t="n"/>
    </row>
    <row r="30">
      <c r="A30" s="33">
        <f>Inputs!A151</f>
        <v/>
      </c>
      <c r="B30" s="33">
        <f>Inputs!B151</f>
        <v/>
      </c>
      <c r="C30" s="33">
        <f>Inputs!C151</f>
        <v/>
      </c>
      <c r="D30" s="33">
        <f>Inputs!D151</f>
        <v/>
      </c>
      <c r="E30" s="63" t="n"/>
      <c r="F30" s="63" t="n"/>
      <c r="G30" s="56" t="n"/>
      <c r="H30" s="56" t="n"/>
    </row>
    <row r="31">
      <c r="A31" s="33">
        <f>Inputs!A152</f>
        <v/>
      </c>
      <c r="B31" s="33">
        <f>Inputs!B152</f>
        <v/>
      </c>
      <c r="C31" s="33">
        <f>Inputs!C152</f>
        <v/>
      </c>
      <c r="D31" s="33">
        <f>Inputs!D152</f>
        <v/>
      </c>
      <c r="E31" s="63" t="n"/>
      <c r="F31" s="63" t="n"/>
      <c r="G31" s="56" t="n"/>
      <c r="H31" s="56" t="n"/>
    </row>
    <row r="32">
      <c r="A32" s="33">
        <f>Inputs!A153</f>
        <v/>
      </c>
      <c r="B32" s="33">
        <f>Inputs!B153</f>
        <v/>
      </c>
      <c r="C32" s="33">
        <f>Inputs!C153</f>
        <v/>
      </c>
      <c r="D32" s="33">
        <f>Inputs!D153</f>
        <v/>
      </c>
      <c r="E32" s="63" t="n"/>
      <c r="F32" s="63" t="n"/>
      <c r="G32" s="56" t="n"/>
      <c r="H32" s="56" t="n"/>
    </row>
    <row r="33">
      <c r="A33" s="33">
        <f>Inputs!A154</f>
        <v/>
      </c>
      <c r="B33" s="33">
        <f>Inputs!B154</f>
        <v/>
      </c>
      <c r="C33" s="33">
        <f>Inputs!C154</f>
        <v/>
      </c>
      <c r="D33" s="33">
        <f>Inputs!D154</f>
        <v/>
      </c>
      <c r="E33" s="63" t="n"/>
      <c r="F33" s="63" t="n"/>
      <c r="G33" s="56" t="n"/>
      <c r="H33" s="56" t="n"/>
    </row>
    <row r="34">
      <c r="A34" s="33">
        <f>Inputs!A155</f>
        <v/>
      </c>
      <c r="B34" s="33">
        <f>Inputs!B155</f>
        <v/>
      </c>
      <c r="C34" s="33">
        <f>Inputs!C155</f>
        <v/>
      </c>
      <c r="D34" s="33">
        <f>Inputs!D155</f>
        <v/>
      </c>
      <c r="E34" s="63" t="n"/>
      <c r="F34" s="63" t="n"/>
      <c r="G34" s="56" t="n"/>
      <c r="H34" s="56" t="n"/>
    </row>
    <row r="35">
      <c r="A35" s="33">
        <f>Inputs!A156</f>
        <v/>
      </c>
      <c r="B35" s="33">
        <f>Inputs!B156</f>
        <v/>
      </c>
      <c r="C35" s="33">
        <f>Inputs!C156</f>
        <v/>
      </c>
      <c r="D35" s="33">
        <f>Inputs!D156</f>
        <v/>
      </c>
      <c r="E35" s="63" t="n"/>
      <c r="F35" s="63" t="n"/>
      <c r="G35" s="56" t="n"/>
      <c r="H35" s="56" t="n"/>
    </row>
    <row r="37">
      <c r="D37" s="43" t="inlineStr">
        <is>
          <t>Maximum</t>
        </is>
      </c>
      <c r="E37" s="64">
        <f>IFERROR(MAX(E6:E35),"n/a")</f>
        <v/>
      </c>
      <c r="F37" s="64">
        <f>IFERROR(MAX(F6:F35),"n/a")</f>
        <v/>
      </c>
      <c r="G37" s="58">
        <f>IFERROR(MAX(G6:G35),"n/a")</f>
        <v/>
      </c>
      <c r="H37" s="58">
        <f>IFERROR(MAX(H6:H35),"n/a")</f>
        <v/>
      </c>
    </row>
    <row r="38">
      <c r="D38" s="43" t="inlineStr">
        <is>
          <t>Q3 (75%)</t>
        </is>
      </c>
      <c r="E38" s="64">
        <f>IFERROR(QUARTILE(E6:E35,3),"n/a")</f>
        <v/>
      </c>
      <c r="F38" s="64">
        <f>IFERROR(QUARTILE(F6:F35,3),"n/a")</f>
        <v/>
      </c>
      <c r="G38" s="58">
        <f>IFERROR(QUARTILE(G6:G35,3),"n/a")</f>
        <v/>
      </c>
      <c r="H38" s="58">
        <f>IFERROR(QUARTILE(H6:H35,3),"n/a")</f>
        <v/>
      </c>
    </row>
    <row r="39">
      <c r="D39" s="43" t="inlineStr">
        <is>
          <t>Median</t>
        </is>
      </c>
      <c r="E39" s="65">
        <f>IFERROR(MEDIAN(E6:E35),"n/a")</f>
        <v/>
      </c>
      <c r="F39" s="65">
        <f>IFERROR(MEDIAN(F6:F35),"n/a")</f>
        <v/>
      </c>
      <c r="G39" s="60">
        <f>IFERROR(MEDIAN(G6:G35),"n/a")</f>
        <v/>
      </c>
      <c r="H39" s="60">
        <f>IFERROR(MEDIAN(H6:H35),"n/a")</f>
        <v/>
      </c>
    </row>
    <row r="40">
      <c r="D40" s="43" t="inlineStr">
        <is>
          <t>Mean</t>
        </is>
      </c>
      <c r="E40" s="64">
        <f>IFERROR(AVERAGE(E6:E35),"n/a")</f>
        <v/>
      </c>
      <c r="F40" s="64">
        <f>IFERROR(AVERAGE(F6:F35),"n/a")</f>
        <v/>
      </c>
      <c r="G40" s="58">
        <f>IFERROR(AVERAGE(G6:G35),"n/a")</f>
        <v/>
      </c>
      <c r="H40" s="58">
        <f>IFERROR(AVERAGE(H6:H35),"n/a")</f>
        <v/>
      </c>
    </row>
    <row r="41">
      <c r="D41" s="43" t="inlineStr">
        <is>
          <t>Q1 (25%)</t>
        </is>
      </c>
      <c r="E41" s="64">
        <f>IFERROR(QUARTILE(E6:E35,1),"n/a")</f>
        <v/>
      </c>
      <c r="F41" s="64">
        <f>IFERROR(QUARTILE(F6:F35,1),"n/a")</f>
        <v/>
      </c>
      <c r="G41" s="58">
        <f>IFERROR(QUARTILE(G6:G35,1),"n/a")</f>
        <v/>
      </c>
      <c r="H41" s="58">
        <f>IFERROR(QUARTILE(H6:H35,1),"n/a")</f>
        <v/>
      </c>
    </row>
    <row r="42">
      <c r="D42" s="43" t="inlineStr">
        <is>
          <t>Minimum</t>
        </is>
      </c>
      <c r="E42" s="64">
        <f>IFERROR(MIN(E6:E35),"n/a")</f>
        <v/>
      </c>
      <c r="F42" s="64">
        <f>IFERROR(MIN(F6:F35),"n/a")</f>
        <v/>
      </c>
      <c r="G42" s="58">
        <f>IFERROR(MIN(G6:G35),"n/a")</f>
        <v/>
      </c>
      <c r="H42" s="58">
        <f>IFERROR(MIN(H6:H35),"n/a")</f>
        <v/>
      </c>
    </row>
    <row r="44">
      <c r="D44" s="3" t="inlineStr">
        <is>
          <t>Tier-filtered (include=TRUE)</t>
        </is>
      </c>
    </row>
    <row r="45">
      <c r="D45" s="4" t="inlineStr">
        <is>
          <t>Tier 1 mean</t>
        </is>
      </c>
      <c r="E45" s="42">
        <f>IFERROR(AVERAGEIFS(E6:E35,$A$6:$A$35,1,$B$6:$B$35,TRUE),"n/a")</f>
        <v/>
      </c>
      <c r="F45" s="42">
        <f>IFERROR(AVERAGEIFS(F6:F35,$A$6:$A$35,1,$B$6:$B$35,TRUE),"n/a")</f>
        <v/>
      </c>
      <c r="G45" s="47">
        <f>IFERROR(AVERAGEIFS(G6:G35,$A$6:$A$35,1,$B$6:$B$35,TRUE),"n/a")</f>
        <v/>
      </c>
      <c r="H45" s="47">
        <f>IFERROR(AVERAGEIFS(H6:H35,$A$6:$A$35,1,$B$6:$B$35,TRUE),"n/a")</f>
        <v/>
      </c>
    </row>
    <row r="46">
      <c r="D46" s="4" t="inlineStr">
        <is>
          <t>Tier 2 mean</t>
        </is>
      </c>
      <c r="E46" s="42">
        <f>IFERROR(AVERAGEIFS(E6:E35,$A$6:$A$35,2,$B$6:$B$35,TRUE),"n/a")</f>
        <v/>
      </c>
      <c r="F46" s="42">
        <f>IFERROR(AVERAGEIFS(F6:F35,$A$6:$A$35,2,$B$6:$B$35,TRUE),"n/a")</f>
        <v/>
      </c>
      <c r="G46" s="47">
        <f>IFERROR(AVERAGEIFS(G6:G35,$A$6:$A$35,2,$B$6:$B$35,TRUE),"n/a")</f>
        <v/>
      </c>
      <c r="H46" s="47">
        <f>IFERROR(AVERAGEIFS(H6:H35,$A$6:$A$35,2,$B$6:$B$35,TRUE),"n/a")</f>
        <v/>
      </c>
    </row>
    <row r="47">
      <c r="D47" s="4" t="inlineStr">
        <is>
          <t>Tier 3 mean</t>
        </is>
      </c>
      <c r="E47" s="42">
        <f>IFERROR(AVERAGEIFS(E6:E35,$A$6:$A$35,3,$B$6:$B$35,TRUE),"n/a")</f>
        <v/>
      </c>
      <c r="F47" s="42">
        <f>IFERROR(AVERAGEIFS(F6:F35,$A$6:$A$35,3,$B$6:$B$35,TRUE),"n/a")</f>
        <v/>
      </c>
      <c r="G47" s="47">
        <f>IFERROR(AVERAGEIFS(G6:G35,$A$6:$A$35,3,$B$6:$B$35,TRUE),"n/a")</f>
        <v/>
      </c>
      <c r="H47" s="47">
        <f>IFERROR(AVERAGEIFS(H6:H35,$A$6:$A$35,3,$B$6:$B$35,TRUE),"n/a")</f>
        <v/>
      </c>
    </row>
  </sheetData>
  <mergeCells count="2">
    <mergeCell ref="A2:H2"/>
    <mergeCell ref="A1:H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32"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22" customHeight="1">
      <c r="A1" s="1" t="inlineStr">
        <is>
          <t>CIQ Data Timeline</t>
        </is>
      </c>
    </row>
    <row r="2">
      <c r="A2" s="2" t="inlineStr">
        <is>
          <t>Capital IQ data import audit trail FY-4 to FY-1</t>
        </is>
      </c>
    </row>
    <row r="4">
      <c r="A4" s="66" t="inlineStr">
        <is>
          <t>TODO — formulas to be added in subsequent build pass.</t>
        </is>
      </c>
    </row>
  </sheetData>
  <mergeCells count="3">
    <mergeCell ref="A4:H4"/>
    <mergeCell ref="A2:H2"/>
    <mergeCell ref="A1:H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24" customWidth="1" min="1" max="1"/>
    <col width="8" customWidth="1" min="2" max="2"/>
    <col width="12" customWidth="1" min="3" max="3"/>
    <col width="10" customWidth="1" min="4" max="4"/>
    <col width="18" customWidth="1" min="5" max="5"/>
    <col width="18" customWidth="1" min="6" max="6"/>
    <col width="24" customWidth="1" min="7" max="7"/>
  </cols>
  <sheetData>
    <row r="1" ht="22" customHeight="1">
      <c r="A1" s="1" t="inlineStr">
        <is>
          <t>Country ERP — equity risk premium reference</t>
        </is>
      </c>
    </row>
    <row r="2">
      <c r="A2" s="2" t="inlineStr">
        <is>
          <t>Reference table for country risk premium (CRP) and total ERP. Approximates Damodaran's mid-2025 published figures. **Refresh annually** from pages.stern.nyu.edu/~adamodar/ before any binding valuation. Look up your jurisdiction by ISO2 in column B, take ERP from column D and CRP from column E.</t>
        </is>
      </c>
    </row>
    <row r="4">
      <c r="A4" s="21" t="inlineStr">
        <is>
          <t>Country</t>
        </is>
      </c>
      <c r="B4" s="21" t="inlineStr">
        <is>
          <t>ISO2</t>
        </is>
      </c>
      <c r="C4" s="21" t="inlineStr">
        <is>
          <t>Moody's rating</t>
        </is>
      </c>
      <c r="D4" s="21" t="inlineStr">
        <is>
          <t>ERP</t>
        </is>
      </c>
      <c r="E4" s="21" t="inlineStr">
        <is>
          <t>Country Risk Premium</t>
        </is>
      </c>
      <c r="F4" s="21" t="inlineStr">
        <is>
          <t>Corporate Tax Rate</t>
        </is>
      </c>
      <c r="G4" s="21" t="inlineStr">
        <is>
          <t>Region</t>
        </is>
      </c>
    </row>
    <row r="5">
      <c r="A5" s="33" t="inlineStr">
        <is>
          <t>United States</t>
        </is>
      </c>
      <c r="B5" s="33" t="inlineStr">
        <is>
          <t>US</t>
        </is>
      </c>
      <c r="C5" s="33" t="inlineStr">
        <is>
          <t>Aaa</t>
        </is>
      </c>
      <c r="D5" s="54" t="n">
        <v>0.0457</v>
      </c>
      <c r="E5" s="54" t="n">
        <v>0</v>
      </c>
      <c r="F5" s="54" t="n">
        <v>0.21</v>
      </c>
      <c r="G5" s="33" t="inlineStr">
        <is>
          <t>North America</t>
        </is>
      </c>
    </row>
    <row r="6">
      <c r="A6" s="33" t="inlineStr">
        <is>
          <t>United Kingdom</t>
        </is>
      </c>
      <c r="B6" s="33" t="inlineStr">
        <is>
          <t>GB</t>
        </is>
      </c>
      <c r="C6" s="33" t="inlineStr">
        <is>
          <t>Aa3</t>
        </is>
      </c>
      <c r="D6" s="54" t="n">
        <v>0.0507</v>
      </c>
      <c r="E6" s="54" t="n">
        <v>0.005</v>
      </c>
      <c r="F6" s="54" t="n">
        <v>0.25</v>
      </c>
      <c r="G6" s="33" t="inlineStr">
        <is>
          <t>Western Europe</t>
        </is>
      </c>
    </row>
    <row r="7">
      <c r="A7" s="33" t="inlineStr">
        <is>
          <t>Germany</t>
        </is>
      </c>
      <c r="B7" s="33" t="inlineStr">
        <is>
          <t>DE</t>
        </is>
      </c>
      <c r="C7" s="33" t="inlineStr">
        <is>
          <t>Aaa</t>
        </is>
      </c>
      <c r="D7" s="54" t="n">
        <v>0.0457</v>
      </c>
      <c r="E7" s="54" t="n">
        <v>0</v>
      </c>
      <c r="F7" s="54" t="n">
        <v>0.298</v>
      </c>
      <c r="G7" s="33" t="inlineStr">
        <is>
          <t>Western Europe</t>
        </is>
      </c>
    </row>
    <row r="8">
      <c r="A8" s="33" t="inlineStr">
        <is>
          <t>France</t>
        </is>
      </c>
      <c r="B8" s="33" t="inlineStr">
        <is>
          <t>FR</t>
        </is>
      </c>
      <c r="C8" s="33" t="inlineStr">
        <is>
          <t>Aa3</t>
        </is>
      </c>
      <c r="D8" s="54" t="n">
        <v>0.0507</v>
      </c>
      <c r="E8" s="54" t="n">
        <v>0.005</v>
      </c>
      <c r="F8" s="54" t="n">
        <v>0.258</v>
      </c>
      <c r="G8" s="33" t="inlineStr">
        <is>
          <t>Western Europe</t>
        </is>
      </c>
    </row>
    <row r="9">
      <c r="A9" s="33" t="inlineStr">
        <is>
          <t>Switzerland</t>
        </is>
      </c>
      <c r="B9" s="33" t="inlineStr">
        <is>
          <t>CH</t>
        </is>
      </c>
      <c r="C9" s="33" t="inlineStr">
        <is>
          <t>Aaa</t>
        </is>
      </c>
      <c r="D9" s="54" t="n">
        <v>0.0457</v>
      </c>
      <c r="E9" s="54" t="n">
        <v>0</v>
      </c>
      <c r="F9" s="54" t="n">
        <v>0.144</v>
      </c>
      <c r="G9" s="33" t="inlineStr">
        <is>
          <t>Western Europe</t>
        </is>
      </c>
    </row>
    <row r="10">
      <c r="A10" s="33" t="inlineStr">
        <is>
          <t>Netherlands</t>
        </is>
      </c>
      <c r="B10" s="33" t="inlineStr">
        <is>
          <t>NL</t>
        </is>
      </c>
      <c r="C10" s="33" t="inlineStr">
        <is>
          <t>Aaa</t>
        </is>
      </c>
      <c r="D10" s="54" t="n">
        <v>0.0457</v>
      </c>
      <c r="E10" s="54" t="n">
        <v>0</v>
      </c>
      <c r="F10" s="54" t="n">
        <v>0.258</v>
      </c>
      <c r="G10" s="33" t="inlineStr">
        <is>
          <t>Western Europe</t>
        </is>
      </c>
    </row>
    <row r="11">
      <c r="A11" s="33" t="inlineStr">
        <is>
          <t>Australia</t>
        </is>
      </c>
      <c r="B11" s="33" t="inlineStr">
        <is>
          <t>AU</t>
        </is>
      </c>
      <c r="C11" s="33" t="inlineStr">
        <is>
          <t>Aaa</t>
        </is>
      </c>
      <c r="D11" s="54" t="n">
        <v>0.0457</v>
      </c>
      <c r="E11" s="54" t="n">
        <v>0</v>
      </c>
      <c r="F11" s="54" t="n">
        <v>0.3</v>
      </c>
      <c r="G11" s="33" t="inlineStr">
        <is>
          <t>Australia &amp; NZ</t>
        </is>
      </c>
    </row>
    <row r="12">
      <c r="A12" s="33" t="inlineStr">
        <is>
          <t>New Zealand</t>
        </is>
      </c>
      <c r="B12" s="33" t="inlineStr">
        <is>
          <t>NZ</t>
        </is>
      </c>
      <c r="C12" s="33" t="inlineStr">
        <is>
          <t>Aaa</t>
        </is>
      </c>
      <c r="D12" s="54" t="n">
        <v>0.0457</v>
      </c>
      <c r="E12" s="54" t="n">
        <v>0</v>
      </c>
      <c r="F12" s="54" t="n">
        <v>0.28</v>
      </c>
      <c r="G12" s="33" t="inlineStr">
        <is>
          <t>Australia &amp; NZ</t>
        </is>
      </c>
    </row>
    <row r="13">
      <c r="A13" s="33" t="inlineStr">
        <is>
          <t>Canada</t>
        </is>
      </c>
      <c r="B13" s="33" t="inlineStr">
        <is>
          <t>CA</t>
        </is>
      </c>
      <c r="C13" s="33" t="inlineStr">
        <is>
          <t>Aaa</t>
        </is>
      </c>
      <c r="D13" s="54" t="n">
        <v>0.0457</v>
      </c>
      <c r="E13" s="54" t="n">
        <v>0</v>
      </c>
      <c r="F13" s="54" t="n">
        <v>0.265</v>
      </c>
      <c r="G13" s="33" t="inlineStr">
        <is>
          <t>North America</t>
        </is>
      </c>
    </row>
    <row r="14">
      <c r="A14" s="33" t="inlineStr">
        <is>
          <t>Japan</t>
        </is>
      </c>
      <c r="B14" s="33" t="inlineStr">
        <is>
          <t>JP</t>
        </is>
      </c>
      <c r="C14" s="33" t="inlineStr">
        <is>
          <t>A1</t>
        </is>
      </c>
      <c r="D14" s="54" t="n">
        <v>0.0567</v>
      </c>
      <c r="E14" s="54" t="n">
        <v>0.011</v>
      </c>
      <c r="F14" s="54" t="n">
        <v>0.305</v>
      </c>
      <c r="G14" s="33" t="inlineStr">
        <is>
          <t>Asia</t>
        </is>
      </c>
    </row>
    <row r="15">
      <c r="A15" s="33" t="inlineStr">
        <is>
          <t>South Korea</t>
        </is>
      </c>
      <c r="B15" s="33" t="inlineStr">
        <is>
          <t>KR</t>
        </is>
      </c>
      <c r="C15" s="33" t="inlineStr">
        <is>
          <t>Aa2</t>
        </is>
      </c>
      <c r="D15" s="54" t="n">
        <v>0.0489</v>
      </c>
      <c r="E15" s="54" t="n">
        <v>0.0032</v>
      </c>
      <c r="F15" s="54" t="n">
        <v>0.275</v>
      </c>
      <c r="G15" s="33" t="inlineStr">
        <is>
          <t>Asia</t>
        </is>
      </c>
    </row>
    <row r="16">
      <c r="A16" s="33" t="inlineStr">
        <is>
          <t>Taiwan</t>
        </is>
      </c>
      <c r="B16" s="33" t="inlineStr">
        <is>
          <t>TW</t>
        </is>
      </c>
      <c r="C16" s="33" t="inlineStr">
        <is>
          <t>Aa3</t>
        </is>
      </c>
      <c r="D16" s="54" t="n">
        <v>0.0507</v>
      </c>
      <c r="E16" s="54" t="n">
        <v>0.005</v>
      </c>
      <c r="F16" s="54" t="n">
        <v>0.2</v>
      </c>
      <c r="G16" s="33" t="inlineStr">
        <is>
          <t>Asia</t>
        </is>
      </c>
    </row>
    <row r="17">
      <c r="A17" s="33" t="inlineStr">
        <is>
          <t>China</t>
        </is>
      </c>
      <c r="B17" s="33" t="inlineStr">
        <is>
          <t>CN</t>
        </is>
      </c>
      <c r="C17" s="33" t="inlineStr">
        <is>
          <t>A1</t>
        </is>
      </c>
      <c r="D17" s="54" t="n">
        <v>0.0567</v>
      </c>
      <c r="E17" s="54" t="n">
        <v>0.011</v>
      </c>
      <c r="F17" s="54" t="n">
        <v>0.25</v>
      </c>
      <c r="G17" s="33" t="inlineStr">
        <is>
          <t>Asia</t>
        </is>
      </c>
    </row>
    <row r="18">
      <c r="A18" s="33" t="inlineStr">
        <is>
          <t>Hong Kong</t>
        </is>
      </c>
      <c r="B18" s="33" t="inlineStr">
        <is>
          <t>HK</t>
        </is>
      </c>
      <c r="C18" s="33" t="inlineStr">
        <is>
          <t>Aa3</t>
        </is>
      </c>
      <c r="D18" s="54" t="n">
        <v>0.0507</v>
      </c>
      <c r="E18" s="54" t="n">
        <v>0.005</v>
      </c>
      <c r="F18" s="54" t="n">
        <v>0.165</v>
      </c>
      <c r="G18" s="33" t="inlineStr">
        <is>
          <t>Asia</t>
        </is>
      </c>
    </row>
    <row r="19">
      <c r="A19" s="33" t="inlineStr">
        <is>
          <t>Singapore</t>
        </is>
      </c>
      <c r="B19" s="33" t="inlineStr">
        <is>
          <t>SG</t>
        </is>
      </c>
      <c r="C19" s="33" t="inlineStr">
        <is>
          <t>Aaa</t>
        </is>
      </c>
      <c r="D19" s="54" t="n">
        <v>0.0457</v>
      </c>
      <c r="E19" s="54" t="n">
        <v>0</v>
      </c>
      <c r="F19" s="54" t="n">
        <v>0.17</v>
      </c>
      <c r="G19" s="33" t="inlineStr">
        <is>
          <t>Asia</t>
        </is>
      </c>
    </row>
    <row r="20">
      <c r="A20" s="33" t="inlineStr">
        <is>
          <t>Malaysia</t>
        </is>
      </c>
      <c r="B20" s="33" t="inlineStr">
        <is>
          <t>MY</t>
        </is>
      </c>
      <c r="C20" s="33" t="inlineStr">
        <is>
          <t>A3</t>
        </is>
      </c>
      <c r="D20" s="54" t="n">
        <v>0.0623</v>
      </c>
      <c r="E20" s="54" t="n">
        <v>0.0166</v>
      </c>
      <c r="F20" s="54" t="n">
        <v>0.24</v>
      </c>
      <c r="G20" s="33" t="inlineStr">
        <is>
          <t>Asia</t>
        </is>
      </c>
    </row>
    <row r="21">
      <c r="A21" s="33" t="inlineStr">
        <is>
          <t>Thailand</t>
        </is>
      </c>
      <c r="B21" s="33" t="inlineStr">
        <is>
          <t>TH</t>
        </is>
      </c>
      <c r="C21" s="33" t="inlineStr">
        <is>
          <t>Baa1</t>
        </is>
      </c>
      <c r="D21" s="54" t="n">
        <v>0.06909999999999999</v>
      </c>
      <c r="E21" s="54" t="n">
        <v>0.0234</v>
      </c>
      <c r="F21" s="54" t="n">
        <v>0.2</v>
      </c>
      <c r="G21" s="33" t="inlineStr">
        <is>
          <t>Asia</t>
        </is>
      </c>
    </row>
    <row r="22">
      <c r="A22" s="33" t="inlineStr">
        <is>
          <t>Vietnam</t>
        </is>
      </c>
      <c r="B22" s="33" t="inlineStr">
        <is>
          <t>VN</t>
        </is>
      </c>
      <c r="C22" s="33" t="inlineStr">
        <is>
          <t>Ba2</t>
        </is>
      </c>
      <c r="D22" s="54" t="n">
        <v>0.08550000000000001</v>
      </c>
      <c r="E22" s="54" t="n">
        <v>0.0398</v>
      </c>
      <c r="F22" s="54" t="n">
        <v>0.2</v>
      </c>
      <c r="G22" s="33" t="inlineStr">
        <is>
          <t>Asia</t>
        </is>
      </c>
    </row>
    <row r="23">
      <c r="A23" s="33" t="inlineStr">
        <is>
          <t>Indonesia</t>
        </is>
      </c>
      <c r="B23" s="33" t="inlineStr">
        <is>
          <t>ID</t>
        </is>
      </c>
      <c r="C23" s="33" t="inlineStr">
        <is>
          <t>Baa2</t>
        </is>
      </c>
      <c r="D23" s="54" t="n">
        <v>0.0735</v>
      </c>
      <c r="E23" s="54" t="n">
        <v>0.0278</v>
      </c>
      <c r="F23" s="54" t="n">
        <v>0.22</v>
      </c>
      <c r="G23" s="33" t="inlineStr">
        <is>
          <t>Asia</t>
        </is>
      </c>
    </row>
    <row r="24">
      <c r="A24" s="33" t="inlineStr">
        <is>
          <t>Philippines</t>
        </is>
      </c>
      <c r="B24" s="33" t="inlineStr">
        <is>
          <t>PH</t>
        </is>
      </c>
      <c r="C24" s="33" t="inlineStr">
        <is>
          <t>Baa2</t>
        </is>
      </c>
      <c r="D24" s="54" t="n">
        <v>0.0735</v>
      </c>
      <c r="E24" s="54" t="n">
        <v>0.0278</v>
      </c>
      <c r="F24" s="54" t="n">
        <v>0.25</v>
      </c>
      <c r="G24" s="33" t="inlineStr">
        <is>
          <t>Asia</t>
        </is>
      </c>
    </row>
    <row r="25">
      <c r="A25" s="33" t="inlineStr">
        <is>
          <t>India</t>
        </is>
      </c>
      <c r="B25" s="33" t="inlineStr">
        <is>
          <t>IN</t>
        </is>
      </c>
      <c r="C25" s="33" t="inlineStr">
        <is>
          <t>Baa3</t>
        </is>
      </c>
      <c r="D25" s="54" t="n">
        <v>0.0786</v>
      </c>
      <c r="E25" s="54" t="n">
        <v>0.0329</v>
      </c>
      <c r="F25" s="54" t="n">
        <v>0.252</v>
      </c>
      <c r="G25" s="33" t="inlineStr">
        <is>
          <t>Asia</t>
        </is>
      </c>
    </row>
    <row r="26">
      <c r="A26" s="33" t="inlineStr">
        <is>
          <t>Pakistan</t>
        </is>
      </c>
      <c r="B26" s="33" t="inlineStr">
        <is>
          <t>PK</t>
        </is>
      </c>
      <c r="C26" s="33" t="inlineStr">
        <is>
          <t>Caa2</t>
        </is>
      </c>
      <c r="D26" s="54" t="n">
        <v>0.1421</v>
      </c>
      <c r="E26" s="54" t="n">
        <v>0.0964</v>
      </c>
      <c r="F26" s="54" t="n">
        <v>0.29</v>
      </c>
      <c r="G26" s="33" t="inlineStr">
        <is>
          <t>Asia</t>
        </is>
      </c>
    </row>
    <row r="27">
      <c r="A27" s="33" t="inlineStr">
        <is>
          <t>Bangladesh</t>
        </is>
      </c>
      <c r="B27" s="33" t="inlineStr">
        <is>
          <t>BD</t>
        </is>
      </c>
      <c r="C27" s="33" t="inlineStr">
        <is>
          <t>B2</t>
        </is>
      </c>
      <c r="D27" s="54" t="n">
        <v>0.1142</v>
      </c>
      <c r="E27" s="54" t="n">
        <v>0.06850000000000001</v>
      </c>
      <c r="F27" s="54" t="n">
        <v>0.275</v>
      </c>
      <c r="G27" s="33" t="inlineStr">
        <is>
          <t>Asia</t>
        </is>
      </c>
    </row>
    <row r="28">
      <c r="A28" s="33" t="inlineStr">
        <is>
          <t>Cayman Islands</t>
        </is>
      </c>
      <c r="B28" s="33" t="inlineStr">
        <is>
          <t>KY</t>
        </is>
      </c>
      <c r="C28" s="33" t="inlineStr">
        <is>
          <t>Aa3</t>
        </is>
      </c>
      <c r="D28" s="54" t="n">
        <v>0.0507</v>
      </c>
      <c r="E28" s="54" t="n">
        <v>0.005</v>
      </c>
      <c r="F28" s="54" t="n">
        <v>0</v>
      </c>
      <c r="G28" s="33" t="inlineStr">
        <is>
          <t>Caribbean (offshore)</t>
        </is>
      </c>
    </row>
    <row r="29">
      <c r="A29" s="33" t="inlineStr">
        <is>
          <t>British Virgin Is.</t>
        </is>
      </c>
      <c r="B29" s="33" t="inlineStr">
        <is>
          <t>VG</t>
        </is>
      </c>
      <c r="C29" s="33" t="inlineStr">
        <is>
          <t>NA</t>
        </is>
      </c>
      <c r="D29" s="54" t="n">
        <v>0.0507</v>
      </c>
      <c r="E29" s="54" t="n">
        <v>0.005</v>
      </c>
      <c r="F29" s="54" t="n">
        <v>0</v>
      </c>
      <c r="G29" s="33" t="inlineStr">
        <is>
          <t>Caribbean (offshore)</t>
        </is>
      </c>
    </row>
    <row r="30">
      <c r="A30" s="33" t="inlineStr">
        <is>
          <t>Bermuda</t>
        </is>
      </c>
      <c r="B30" s="33" t="inlineStr">
        <is>
          <t>BM</t>
        </is>
      </c>
      <c r="C30" s="33" t="inlineStr">
        <is>
          <t>A2</t>
        </is>
      </c>
      <c r="D30" s="54" t="n">
        <v>0.0596</v>
      </c>
      <c r="E30" s="54" t="n">
        <v>0.0139</v>
      </c>
      <c r="F30" s="54" t="n">
        <v>0</v>
      </c>
      <c r="G30" s="33" t="inlineStr">
        <is>
          <t>Caribbean (offshore)</t>
        </is>
      </c>
    </row>
    <row r="31">
      <c r="A31" s="33" t="inlineStr">
        <is>
          <t>Brazil</t>
        </is>
      </c>
      <c r="B31" s="33" t="inlineStr">
        <is>
          <t>BR</t>
        </is>
      </c>
      <c r="C31" s="33" t="inlineStr">
        <is>
          <t>Ba2</t>
        </is>
      </c>
      <c r="D31" s="54" t="n">
        <v>0.08550000000000001</v>
      </c>
      <c r="E31" s="54" t="n">
        <v>0.0398</v>
      </c>
      <c r="F31" s="54" t="n">
        <v>0.34</v>
      </c>
      <c r="G31" s="33" t="inlineStr">
        <is>
          <t>Latin America</t>
        </is>
      </c>
    </row>
    <row r="32">
      <c r="A32" s="33" t="inlineStr">
        <is>
          <t>Mexico</t>
        </is>
      </c>
      <c r="B32" s="33" t="inlineStr">
        <is>
          <t>MX</t>
        </is>
      </c>
      <c r="C32" s="33" t="inlineStr">
        <is>
          <t>Baa2</t>
        </is>
      </c>
      <c r="D32" s="54" t="n">
        <v>0.0735</v>
      </c>
      <c r="E32" s="54" t="n">
        <v>0.0278</v>
      </c>
      <c r="F32" s="54" t="n">
        <v>0.3</v>
      </c>
      <c r="G32" s="33" t="inlineStr">
        <is>
          <t>Latin America</t>
        </is>
      </c>
    </row>
    <row r="33">
      <c r="A33" s="33" t="inlineStr">
        <is>
          <t>UAE</t>
        </is>
      </c>
      <c r="B33" s="33" t="inlineStr">
        <is>
          <t>AE</t>
        </is>
      </c>
      <c r="C33" s="33" t="inlineStr">
        <is>
          <t>Aa2</t>
        </is>
      </c>
      <c r="D33" s="54" t="n">
        <v>0.0489</v>
      </c>
      <c r="E33" s="54" t="n">
        <v>0.0032</v>
      </c>
      <c r="F33" s="54" t="n">
        <v>0.09</v>
      </c>
      <c r="G33" s="33" t="inlineStr">
        <is>
          <t>Middle East</t>
        </is>
      </c>
    </row>
    <row r="34">
      <c r="A34" s="33" t="inlineStr">
        <is>
          <t>Saudi Arabia</t>
        </is>
      </c>
      <c r="B34" s="33" t="inlineStr">
        <is>
          <t>SA</t>
        </is>
      </c>
      <c r="C34" s="33" t="inlineStr">
        <is>
          <t>Aa3</t>
        </is>
      </c>
      <c r="D34" s="54" t="n">
        <v>0.0507</v>
      </c>
      <c r="E34" s="54" t="n">
        <v>0.005</v>
      </c>
      <c r="F34" s="54" t="n">
        <v>0.2</v>
      </c>
      <c r="G34" s="33" t="inlineStr">
        <is>
          <t>Middle East</t>
        </is>
      </c>
    </row>
    <row r="35">
      <c r="A35" s="33" t="inlineStr">
        <is>
          <t>Israel</t>
        </is>
      </c>
      <c r="B35" s="33" t="inlineStr">
        <is>
          <t>IL</t>
        </is>
      </c>
      <c r="C35" s="33" t="inlineStr">
        <is>
          <t>A2</t>
        </is>
      </c>
      <c r="D35" s="54" t="n">
        <v>0.0596</v>
      </c>
      <c r="E35" s="54" t="n">
        <v>0.0139</v>
      </c>
      <c r="F35" s="54" t="n">
        <v>0.23</v>
      </c>
      <c r="G35" s="33" t="inlineStr">
        <is>
          <t>Middle East</t>
        </is>
      </c>
    </row>
    <row r="37">
      <c r="A37" s="2" t="inlineStr">
        <is>
          <t>Source: Aswath Damodaran (NYU Stern) country ERP methodology. Mature-market ERP baseline ≈ 4.57%; CRP is the country-specific premium added for non-AAA jurisdictions. Numbers above are 2024-2025 approximations — REFRESH from the live source before binding work.</t>
        </is>
      </c>
    </row>
  </sheetData>
  <mergeCells count="3">
    <mergeCell ref="A2:G2"/>
    <mergeCell ref="A37:G37"/>
    <mergeCell ref="A1:H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86"/>
  <sheetViews>
    <sheetView workbookViewId="0">
      <selection activeCell="A1" sqref="A1"/>
    </sheetView>
  </sheetViews>
  <sheetFormatPr baseColWidth="8" defaultRowHeight="15"/>
  <cols>
    <col width="32" customWidth="1" min="1" max="1"/>
    <col width="9" customWidth="1" min="2" max="2"/>
    <col width="12" customWidth="1" min="3" max="3"/>
    <col width="14" customWidth="1" min="4" max="4"/>
    <col width="14" customWidth="1" min="5" max="5"/>
    <col width="14" customWidth="1" min="6" max="6"/>
    <col width="14" customWidth="1" min="7" max="7"/>
    <col width="14" customWidth="1" min="8" max="8"/>
    <col width="14" customWidth="1" min="9" max="9"/>
  </cols>
  <sheetData>
    <row r="1" ht="22" customHeight="1">
      <c r="A1" s="1" t="inlineStr">
        <is>
          <t>Industry Averages — Damodaran US-industry reference (mid-2025)</t>
        </is>
      </c>
    </row>
    <row r="2">
      <c r="A2" s="2" t="inlineStr">
        <is>
          <t>Reference table for unlevered beta, margin, capex-intensity, and EV/EBITDA NTM by industry. Approximates Damodaran's mid-2025 published US figures. **Refresh annually** from pages.stern.nyu.edu/~adamodar/ before binding work. For Asia-Pac targets, betas tend to run ~10-15% higher than the US baseline.</t>
        </is>
      </c>
    </row>
    <row r="4">
      <c r="A4" s="21" t="inlineStr">
        <is>
          <t>Industry</t>
        </is>
      </c>
      <c r="B4" s="21" t="inlineStr">
        <is>
          <t>n firms</t>
        </is>
      </c>
      <c r="C4" s="21" t="inlineStr">
        <is>
          <t>Unlevered β</t>
        </is>
      </c>
      <c r="D4" s="21" t="inlineStr">
        <is>
          <t>Gross margin</t>
        </is>
      </c>
      <c r="E4" s="21" t="inlineStr">
        <is>
          <t>EBITDA margin</t>
        </is>
      </c>
      <c r="F4" s="21" t="inlineStr">
        <is>
          <t>Operating margin</t>
        </is>
      </c>
      <c r="G4" s="21" t="inlineStr">
        <is>
          <t>Capex / Revenue</t>
        </is>
      </c>
      <c r="H4" s="21" t="inlineStr">
        <is>
          <t>D&amp;A / Revenue</t>
        </is>
      </c>
      <c r="I4" s="21" t="inlineStr">
        <is>
          <t>EV/EBITDA NTM</t>
        </is>
      </c>
    </row>
    <row r="5">
      <c r="A5" s="33" t="inlineStr">
        <is>
          <t>Advertising</t>
        </is>
      </c>
      <c r="B5" s="33" t="n">
        <v>58</v>
      </c>
      <c r="C5" s="49" t="n">
        <v>0.97</v>
      </c>
      <c r="D5" s="53" t="n">
        <v>0.4</v>
      </c>
      <c r="E5" s="53" t="n">
        <v>0.16</v>
      </c>
      <c r="F5" s="53" t="n">
        <v>0.1</v>
      </c>
      <c r="G5" s="53" t="n">
        <v>0.018</v>
      </c>
      <c r="H5" s="53" t="n">
        <v>0.024</v>
      </c>
      <c r="I5" s="50" t="n">
        <v>14</v>
      </c>
    </row>
    <row r="6">
      <c r="A6" s="33" t="inlineStr">
        <is>
          <t>Aerospace/Defense</t>
        </is>
      </c>
      <c r="B6" s="33" t="n">
        <v>71</v>
      </c>
      <c r="C6" s="49" t="n">
        <v>0.92</v>
      </c>
      <c r="D6" s="53" t="n">
        <v>0.27</v>
      </c>
      <c r="E6" s="53" t="n">
        <v>0.18</v>
      </c>
      <c r="F6" s="53" t="n">
        <v>0.12</v>
      </c>
      <c r="G6" s="53" t="n">
        <v>0.03</v>
      </c>
      <c r="H6" s="53" t="n">
        <v>0.03</v>
      </c>
      <c r="I6" s="50" t="n">
        <v>16.5</v>
      </c>
    </row>
    <row r="7">
      <c r="A7" s="33" t="inlineStr">
        <is>
          <t>Auto &amp; Truck (manufacturers)</t>
        </is>
      </c>
      <c r="B7" s="33" t="n">
        <v>44</v>
      </c>
      <c r="C7" s="49" t="n">
        <v>0.95</v>
      </c>
      <c r="D7" s="53" t="n">
        <v>0.18</v>
      </c>
      <c r="E7" s="53" t="n">
        <v>0.12</v>
      </c>
      <c r="F7" s="53" t="n">
        <v>0.07000000000000001</v>
      </c>
      <c r="G7" s="53" t="n">
        <v>0.045</v>
      </c>
      <c r="H7" s="53" t="n">
        <v>0.04</v>
      </c>
      <c r="I7" s="50" t="n">
        <v>9.5</v>
      </c>
    </row>
    <row r="8">
      <c r="A8" s="33" t="inlineStr">
        <is>
          <t>Bank (Money Center)</t>
        </is>
      </c>
      <c r="B8" s="33" t="n">
        <v>17</v>
      </c>
      <c r="C8" s="49" t="n">
        <v>0.78</v>
      </c>
      <c r="D8" s="53" t="n">
        <v>0.55</v>
      </c>
      <c r="E8" s="53" t="n">
        <v>0.4</v>
      </c>
      <c r="F8" s="53" t="n">
        <v>0.35</v>
      </c>
      <c r="G8" s="53" t="n">
        <v>0.005</v>
      </c>
      <c r="H8" s="53" t="n">
        <v>0.01</v>
      </c>
      <c r="I8" s="50" t="n">
        <v>8.5</v>
      </c>
    </row>
    <row r="9">
      <c r="A9" s="33" t="inlineStr">
        <is>
          <t>Beverage (Alcoholic)</t>
        </is>
      </c>
      <c r="B9" s="33" t="n">
        <v>27</v>
      </c>
      <c r="C9" s="49" t="n">
        <v>0.62</v>
      </c>
      <c r="D9" s="53" t="n">
        <v>0.48</v>
      </c>
      <c r="E9" s="53" t="n">
        <v>0.27</v>
      </c>
      <c r="F9" s="53" t="n">
        <v>0.22</v>
      </c>
      <c r="G9" s="53" t="n">
        <v>0.04</v>
      </c>
      <c r="H9" s="53" t="n">
        <v>0.03</v>
      </c>
      <c r="I9" s="50" t="n">
        <v>14</v>
      </c>
    </row>
    <row r="10">
      <c r="A10" s="33" t="inlineStr">
        <is>
          <t>Beverage (Soft)</t>
        </is>
      </c>
      <c r="B10" s="33" t="n">
        <v>29</v>
      </c>
      <c r="C10" s="49" t="n">
        <v>0.71</v>
      </c>
      <c r="D10" s="53" t="n">
        <v>0.55</v>
      </c>
      <c r="E10" s="53" t="n">
        <v>0.28</v>
      </c>
      <c r="F10" s="53" t="n">
        <v>0.22</v>
      </c>
      <c r="G10" s="53" t="n">
        <v>0.045</v>
      </c>
      <c r="H10" s="53" t="n">
        <v>0.03</v>
      </c>
      <c r="I10" s="50" t="n">
        <v>16</v>
      </c>
    </row>
    <row r="11">
      <c r="A11" s="33" t="inlineStr">
        <is>
          <t>Biotechnology</t>
        </is>
      </c>
      <c r="B11" s="33" t="n">
        <v>532</v>
      </c>
      <c r="C11" s="49" t="n">
        <v>1.18</v>
      </c>
      <c r="D11" s="53" t="n">
        <v>0.6</v>
      </c>
      <c r="E11" s="53" t="n">
        <v>-0.1</v>
      </c>
      <c r="F11" s="53" t="n">
        <v>-0.3</v>
      </c>
      <c r="G11" s="53" t="n">
        <v>0.02</v>
      </c>
      <c r="H11" s="53" t="n">
        <v>0.03</v>
      </c>
      <c r="I11" s="50" t="n">
        <v>12</v>
      </c>
    </row>
    <row r="12">
      <c r="A12" s="33" t="inlineStr">
        <is>
          <t>Broadcasting</t>
        </is>
      </c>
      <c r="B12" s="33" t="n">
        <v>21</v>
      </c>
      <c r="C12" s="49" t="n">
        <v>0.95</v>
      </c>
      <c r="D12" s="53" t="n">
        <v>0.42</v>
      </c>
      <c r="E12" s="53" t="n">
        <v>0.32</v>
      </c>
      <c r="F12" s="53" t="n">
        <v>0.22</v>
      </c>
      <c r="G12" s="53" t="n">
        <v>0.02</v>
      </c>
      <c r="H12" s="53" t="n">
        <v>0.06</v>
      </c>
      <c r="I12" s="50" t="n">
        <v>8.5</v>
      </c>
    </row>
    <row r="13">
      <c r="A13" s="33" t="inlineStr">
        <is>
          <t>Building Materials</t>
        </is>
      </c>
      <c r="B13" s="33" t="n">
        <v>31</v>
      </c>
      <c r="C13" s="49" t="n">
        <v>1.08</v>
      </c>
      <c r="D13" s="53" t="n">
        <v>0.3</v>
      </c>
      <c r="E13" s="53" t="n">
        <v>0.18</v>
      </c>
      <c r="F13" s="53" t="n">
        <v>0.13</v>
      </c>
      <c r="G13" s="53" t="n">
        <v>0.04</v>
      </c>
      <c r="H13" s="53" t="n">
        <v>0.04</v>
      </c>
      <c r="I13" s="50" t="n">
        <v>9</v>
      </c>
    </row>
    <row r="14">
      <c r="A14" s="33" t="inlineStr">
        <is>
          <t>Business &amp; Consumer Services</t>
        </is>
      </c>
      <c r="B14" s="33" t="n">
        <v>168</v>
      </c>
      <c r="C14" s="49" t="n">
        <v>1.1</v>
      </c>
      <c r="D14" s="53" t="n">
        <v>0.45</v>
      </c>
      <c r="E14" s="53" t="n">
        <v>0.18</v>
      </c>
      <c r="F14" s="53" t="n">
        <v>0.12</v>
      </c>
      <c r="G14" s="53" t="n">
        <v>0.025</v>
      </c>
      <c r="H14" s="53" t="n">
        <v>0.035</v>
      </c>
      <c r="I14" s="50" t="n">
        <v>13</v>
      </c>
    </row>
    <row r="15">
      <c r="A15" s="33" t="inlineStr">
        <is>
          <t>Cable TV</t>
        </is>
      </c>
      <c r="B15" s="33" t="n">
        <v>10</v>
      </c>
      <c r="C15" s="49" t="n">
        <v>0.85</v>
      </c>
      <c r="D15" s="53" t="n">
        <v>0.55</v>
      </c>
      <c r="E15" s="53" t="n">
        <v>0.36</v>
      </c>
      <c r="F15" s="53" t="n">
        <v>0.2</v>
      </c>
      <c r="G15" s="53" t="n">
        <v>0.13</v>
      </c>
      <c r="H15" s="53" t="n">
        <v>0.14</v>
      </c>
      <c r="I15" s="50" t="n">
        <v>7</v>
      </c>
    </row>
    <row r="16">
      <c r="A16" s="33" t="inlineStr">
        <is>
          <t>Chemical (Diversified)</t>
        </is>
      </c>
      <c r="B16" s="33" t="n">
        <v>23</v>
      </c>
      <c r="C16" s="49" t="n">
        <v>1.04</v>
      </c>
      <c r="D16" s="53" t="n">
        <v>0.22</v>
      </c>
      <c r="E16" s="53" t="n">
        <v>0.16</v>
      </c>
      <c r="F16" s="53" t="n">
        <v>0.12</v>
      </c>
      <c r="G16" s="53" t="n">
        <v>0.04</v>
      </c>
      <c r="H16" s="53" t="n">
        <v>0.03</v>
      </c>
      <c r="I16" s="50" t="n">
        <v>9.5</v>
      </c>
    </row>
    <row r="17">
      <c r="A17" s="33" t="inlineStr">
        <is>
          <t>Computer Services</t>
        </is>
      </c>
      <c r="B17" s="33" t="n">
        <v>63</v>
      </c>
      <c r="C17" s="49" t="n">
        <v>1.15</v>
      </c>
      <c r="D17" s="53" t="n">
        <v>0.3</v>
      </c>
      <c r="E17" s="53" t="n">
        <v>0.18</v>
      </c>
      <c r="F17" s="53" t="n">
        <v>0.14</v>
      </c>
      <c r="G17" s="53" t="n">
        <v>0.025</v>
      </c>
      <c r="H17" s="53" t="n">
        <v>0.03</v>
      </c>
      <c r="I17" s="50" t="n">
        <v>14.5</v>
      </c>
    </row>
    <row r="18">
      <c r="A18" s="33" t="inlineStr">
        <is>
          <t>Computers/Peripherals</t>
        </is>
      </c>
      <c r="B18" s="33" t="n">
        <v>29</v>
      </c>
      <c r="C18" s="49" t="n">
        <v>1.2</v>
      </c>
      <c r="D18" s="53" t="n">
        <v>0.4</v>
      </c>
      <c r="E18" s="53" t="n">
        <v>0.22</v>
      </c>
      <c r="F18" s="53" t="n">
        <v>0.18</v>
      </c>
      <c r="G18" s="53" t="n">
        <v>0.02</v>
      </c>
      <c r="H18" s="53" t="n">
        <v>0.025</v>
      </c>
      <c r="I18" s="50" t="n">
        <v>15</v>
      </c>
    </row>
    <row r="19">
      <c r="A19" s="33" t="inlineStr">
        <is>
          <t>Construction Supplies</t>
        </is>
      </c>
      <c r="B19" s="33" t="n">
        <v>38</v>
      </c>
      <c r="C19" s="49" t="n">
        <v>1.02</v>
      </c>
      <c r="D19" s="53" t="n">
        <v>0.3</v>
      </c>
      <c r="E19" s="53" t="n">
        <v>0.16</v>
      </c>
      <c r="F19" s="53" t="n">
        <v>0.12</v>
      </c>
      <c r="G19" s="53" t="n">
        <v>0.035</v>
      </c>
      <c r="H19" s="53" t="n">
        <v>0.03</v>
      </c>
      <c r="I19" s="50" t="n">
        <v>9.5</v>
      </c>
    </row>
    <row r="20">
      <c r="A20" s="33" t="inlineStr">
        <is>
          <t>Drugs (Biotechnology)</t>
        </is>
      </c>
      <c r="B20" s="33" t="n">
        <v>532</v>
      </c>
      <c r="C20" s="49" t="n">
        <v>1.18</v>
      </c>
      <c r="D20" s="53" t="n">
        <v>0.6</v>
      </c>
      <c r="E20" s="53" t="n">
        <v>-0.1</v>
      </c>
      <c r="F20" s="53" t="n">
        <v>-0.3</v>
      </c>
      <c r="G20" s="53" t="n">
        <v>0.02</v>
      </c>
      <c r="H20" s="53" t="n">
        <v>0.03</v>
      </c>
      <c r="I20" s="50" t="n">
        <v>12</v>
      </c>
    </row>
    <row r="21">
      <c r="A21" s="33" t="inlineStr">
        <is>
          <t>Drugs (Pharmaceutical)</t>
        </is>
      </c>
      <c r="B21" s="33" t="n">
        <v>155</v>
      </c>
      <c r="C21" s="49" t="n">
        <v>0.95</v>
      </c>
      <c r="D21" s="53" t="n">
        <v>0.65</v>
      </c>
      <c r="E21" s="53" t="n">
        <v>0.3</v>
      </c>
      <c r="F21" s="53" t="n">
        <v>0.22</v>
      </c>
      <c r="G21" s="53" t="n">
        <v>0.03</v>
      </c>
      <c r="H21" s="53" t="n">
        <v>0.04</v>
      </c>
      <c r="I21" s="50" t="n">
        <v>14</v>
      </c>
    </row>
    <row r="22">
      <c r="A22" s="33" t="inlineStr">
        <is>
          <t>Education</t>
        </is>
      </c>
      <c r="B22" s="33" t="n">
        <v>33</v>
      </c>
      <c r="C22" s="49" t="n">
        <v>1.1</v>
      </c>
      <c r="D22" s="53" t="n">
        <v>0.5</v>
      </c>
      <c r="E22" s="53" t="n">
        <v>0.18</v>
      </c>
      <c r="F22" s="53" t="n">
        <v>0.13</v>
      </c>
      <c r="G22" s="53" t="n">
        <v>0.04</v>
      </c>
      <c r="H22" s="53" t="n">
        <v>0.03</v>
      </c>
      <c r="I22" s="50" t="n">
        <v>12</v>
      </c>
    </row>
    <row r="23">
      <c r="A23" s="33" t="inlineStr">
        <is>
          <t>Electrical Equipment</t>
        </is>
      </c>
      <c r="B23" s="33" t="n">
        <v>103</v>
      </c>
      <c r="C23" s="49" t="n">
        <v>1.06</v>
      </c>
      <c r="D23" s="53" t="n">
        <v>0.32</v>
      </c>
      <c r="E23" s="53" t="n">
        <v>0.17</v>
      </c>
      <c r="F23" s="53" t="n">
        <v>0.12</v>
      </c>
      <c r="G23" s="53" t="n">
        <v>0.03</v>
      </c>
      <c r="H23" s="53" t="n">
        <v>0.03</v>
      </c>
      <c r="I23" s="50" t="n">
        <v>12</v>
      </c>
    </row>
    <row r="24">
      <c r="A24" s="33" t="inlineStr">
        <is>
          <t>Engineering/Construction</t>
        </is>
      </c>
      <c r="B24" s="33" t="n">
        <v>48</v>
      </c>
      <c r="C24" s="49" t="n">
        <v>1.1</v>
      </c>
      <c r="D24" s="53" t="n">
        <v>0.18</v>
      </c>
      <c r="E24" s="53" t="n">
        <v>0.1</v>
      </c>
      <c r="F24" s="53" t="n">
        <v>0.07000000000000001</v>
      </c>
      <c r="G24" s="53" t="n">
        <v>0.03</v>
      </c>
      <c r="H24" s="53" t="n">
        <v>0.02</v>
      </c>
      <c r="I24" s="50" t="n">
        <v>9</v>
      </c>
    </row>
    <row r="25">
      <c r="A25" s="33" t="inlineStr">
        <is>
          <t>Entertainment</t>
        </is>
      </c>
      <c r="B25" s="33" t="n">
        <v>73</v>
      </c>
      <c r="C25" s="49" t="n">
        <v>1.1</v>
      </c>
      <c r="D25" s="53" t="n">
        <v>0.4</v>
      </c>
      <c r="E25" s="53" t="n">
        <v>0.16</v>
      </c>
      <c r="F25" s="53" t="n">
        <v>0.1</v>
      </c>
      <c r="G25" s="53" t="n">
        <v>0.04</v>
      </c>
      <c r="H25" s="53" t="n">
        <v>0.06</v>
      </c>
      <c r="I25" s="50" t="n">
        <v>13</v>
      </c>
    </row>
    <row r="26">
      <c r="A26" s="33" t="inlineStr">
        <is>
          <t>Environmental &amp; Waste Services</t>
        </is>
      </c>
      <c r="B26" s="33" t="n">
        <v>87</v>
      </c>
      <c r="C26" s="49" t="n">
        <v>0.86</v>
      </c>
      <c r="D26" s="53" t="n">
        <v>0.35</v>
      </c>
      <c r="E26" s="53" t="n">
        <v>0.24</v>
      </c>
      <c r="F26" s="53" t="n">
        <v>0.15</v>
      </c>
      <c r="G26" s="53" t="n">
        <v>0.08</v>
      </c>
      <c r="H26" s="53" t="n">
        <v>0.09</v>
      </c>
      <c r="I26" s="50" t="n">
        <v>12</v>
      </c>
    </row>
    <row r="27">
      <c r="A27" s="33" t="inlineStr">
        <is>
          <t>Financial Svcs. (Non-bank)</t>
        </is>
      </c>
      <c r="B27" s="33" t="n">
        <v>240</v>
      </c>
      <c r="C27" s="49" t="n">
        <v>1</v>
      </c>
      <c r="D27" s="53" t="n">
        <v>0.45</v>
      </c>
      <c r="E27" s="53" t="n">
        <v>0.3</v>
      </c>
      <c r="F27" s="53" t="n">
        <v>0.22</v>
      </c>
      <c r="G27" s="53" t="n">
        <v>0.01</v>
      </c>
      <c r="H27" s="53" t="n">
        <v>0.02</v>
      </c>
      <c r="I27" s="50" t="n">
        <v>11</v>
      </c>
    </row>
    <row r="28">
      <c r="A28" s="33" t="inlineStr">
        <is>
          <t>Food Processing</t>
        </is>
      </c>
      <c r="B28" s="33" t="n">
        <v>79</v>
      </c>
      <c r="C28" s="49" t="n">
        <v>0.55</v>
      </c>
      <c r="D28" s="53" t="n">
        <v>0.3</v>
      </c>
      <c r="E28" s="53" t="n">
        <v>0.15</v>
      </c>
      <c r="F28" s="53" t="n">
        <v>0.11</v>
      </c>
      <c r="G28" s="53" t="n">
        <v>0.04</v>
      </c>
      <c r="H28" s="53" t="n">
        <v>0.03</v>
      </c>
      <c r="I28" s="50" t="n">
        <v>11.5</v>
      </c>
    </row>
    <row r="29">
      <c r="A29" s="33" t="inlineStr">
        <is>
          <t>Furn/Home Furnishings</t>
        </is>
      </c>
      <c r="B29" s="33" t="n">
        <v>32</v>
      </c>
      <c r="C29" s="49" t="n">
        <v>1.1</v>
      </c>
      <c r="D29" s="53" t="n">
        <v>0.32</v>
      </c>
      <c r="E29" s="53" t="n">
        <v>0.13</v>
      </c>
      <c r="F29" s="53" t="n">
        <v>0.09</v>
      </c>
      <c r="G29" s="53" t="n">
        <v>0.025</v>
      </c>
      <c r="H29" s="53" t="n">
        <v>0.025</v>
      </c>
      <c r="I29" s="50" t="n">
        <v>9</v>
      </c>
    </row>
    <row r="30">
      <c r="A30" s="33" t="inlineStr">
        <is>
          <t>Green &amp; Renewable Energy</t>
        </is>
      </c>
      <c r="B30" s="33" t="n">
        <v>24</v>
      </c>
      <c r="C30" s="49" t="n">
        <v>1.05</v>
      </c>
      <c r="D30" s="53" t="n">
        <v>0.35</v>
      </c>
      <c r="E30" s="53" t="n">
        <v>0.45</v>
      </c>
      <c r="F30" s="53" t="n">
        <v>0.18</v>
      </c>
      <c r="G30" s="53" t="n">
        <v>0.18</v>
      </c>
      <c r="H30" s="53" t="n">
        <v>0.22</v>
      </c>
      <c r="I30" s="50" t="n">
        <v>14</v>
      </c>
    </row>
    <row r="31">
      <c r="A31" s="33" t="inlineStr">
        <is>
          <t>Healthcare Products</t>
        </is>
      </c>
      <c r="B31" s="33" t="n">
        <v>238</v>
      </c>
      <c r="C31" s="49" t="n">
        <v>1.04</v>
      </c>
      <c r="D31" s="53" t="n">
        <v>0.55</v>
      </c>
      <c r="E31" s="53" t="n">
        <v>0.2</v>
      </c>
      <c r="F31" s="53" t="n">
        <v>0.14</v>
      </c>
      <c r="G31" s="53" t="n">
        <v>0.03</v>
      </c>
      <c r="H31" s="53" t="n">
        <v>0.04</v>
      </c>
      <c r="I31" s="50" t="n">
        <v>16</v>
      </c>
    </row>
    <row r="32">
      <c r="A32" s="33" t="inlineStr">
        <is>
          <t>Healthcare Services</t>
        </is>
      </c>
      <c r="B32" s="33" t="n">
        <v>103</v>
      </c>
      <c r="C32" s="49" t="n">
        <v>1.05</v>
      </c>
      <c r="D32" s="53" t="n">
        <v>0.3</v>
      </c>
      <c r="E32" s="53" t="n">
        <v>0.13</v>
      </c>
      <c r="F32" s="53" t="n">
        <v>0.08</v>
      </c>
      <c r="G32" s="53" t="n">
        <v>0.025</v>
      </c>
      <c r="H32" s="53" t="n">
        <v>0.03</v>
      </c>
      <c r="I32" s="50" t="n">
        <v>12</v>
      </c>
    </row>
    <row r="33">
      <c r="A33" s="33" t="inlineStr">
        <is>
          <t>Heavy Construction</t>
        </is>
      </c>
      <c r="B33" s="33" t="n">
        <v>46</v>
      </c>
      <c r="C33" s="49" t="n">
        <v>1.2</v>
      </c>
      <c r="D33" s="53" t="n">
        <v>0.18</v>
      </c>
      <c r="E33" s="53" t="n">
        <v>0.11</v>
      </c>
      <c r="F33" s="53" t="n">
        <v>0.07000000000000001</v>
      </c>
      <c r="G33" s="53" t="n">
        <v>0.04</v>
      </c>
      <c r="H33" s="53" t="n">
        <v>0.03</v>
      </c>
      <c r="I33" s="50" t="n">
        <v>9.5</v>
      </c>
    </row>
    <row r="34">
      <c r="A34" s="33" t="inlineStr">
        <is>
          <t>Homebuilding</t>
        </is>
      </c>
      <c r="B34" s="33" t="n">
        <v>31</v>
      </c>
      <c r="C34" s="49" t="n">
        <v>1.3</v>
      </c>
      <c r="D34" s="53" t="n">
        <v>0.22</v>
      </c>
      <c r="E34" s="53" t="n">
        <v>0.16</v>
      </c>
      <c r="F34" s="53" t="n">
        <v>0.14</v>
      </c>
      <c r="G34" s="53" t="n">
        <v>0.005</v>
      </c>
      <c r="H34" s="53" t="n">
        <v>0.005</v>
      </c>
      <c r="I34" s="50" t="n">
        <v>8.5</v>
      </c>
    </row>
    <row r="35">
      <c r="A35" s="33" t="inlineStr">
        <is>
          <t>Hospitals/Healthcare Facilities</t>
        </is>
      </c>
      <c r="B35" s="33" t="n">
        <v>36</v>
      </c>
      <c r="C35" s="49" t="n">
        <v>0.85</v>
      </c>
      <c r="D35" s="53" t="n">
        <v>0.32</v>
      </c>
      <c r="E35" s="53" t="n">
        <v>0.13</v>
      </c>
      <c r="F35" s="53" t="n">
        <v>0.07000000000000001</v>
      </c>
      <c r="G35" s="53" t="n">
        <v>0.04</v>
      </c>
      <c r="H35" s="53" t="n">
        <v>0.05</v>
      </c>
      <c r="I35" s="50" t="n">
        <v>10.5</v>
      </c>
    </row>
    <row r="36">
      <c r="A36" s="33" t="inlineStr">
        <is>
          <t>Hotel/Gaming</t>
        </is>
      </c>
      <c r="B36" s="33" t="n">
        <v>73</v>
      </c>
      <c r="C36" s="49" t="n">
        <v>1.3</v>
      </c>
      <c r="D36" s="53" t="n">
        <v>0.45</v>
      </c>
      <c r="E36" s="53" t="n">
        <v>0.22</v>
      </c>
      <c r="F36" s="53" t="n">
        <v>0.13</v>
      </c>
      <c r="G36" s="53" t="n">
        <v>0.06</v>
      </c>
      <c r="H36" s="53" t="n">
        <v>0.08</v>
      </c>
      <c r="I36" s="50" t="n">
        <v>11.5</v>
      </c>
    </row>
    <row r="37">
      <c r="A37" s="33" t="inlineStr">
        <is>
          <t>Household Products</t>
        </is>
      </c>
      <c r="B37" s="33" t="n">
        <v>46</v>
      </c>
      <c r="C37" s="49" t="n">
        <v>0.78</v>
      </c>
      <c r="D37" s="53" t="n">
        <v>0.42</v>
      </c>
      <c r="E37" s="53" t="n">
        <v>0.18</v>
      </c>
      <c r="F37" s="53" t="n">
        <v>0.13</v>
      </c>
      <c r="G37" s="53" t="n">
        <v>0.03</v>
      </c>
      <c r="H37" s="53" t="n">
        <v>0.03</v>
      </c>
      <c r="I37" s="50" t="n">
        <v>14.5</v>
      </c>
    </row>
    <row r="38">
      <c r="A38" s="33" t="inlineStr">
        <is>
          <t>Information Services</t>
        </is>
      </c>
      <c r="B38" s="33" t="n">
        <v>74</v>
      </c>
      <c r="C38" s="49" t="n">
        <v>1</v>
      </c>
      <c r="D38" s="53" t="n">
        <v>0.5</v>
      </c>
      <c r="E38" s="53" t="n">
        <v>0.3</v>
      </c>
      <c r="F38" s="53" t="n">
        <v>0.22</v>
      </c>
      <c r="G38" s="53" t="n">
        <v>0.03</v>
      </c>
      <c r="H38" s="53" t="n">
        <v>0.06</v>
      </c>
      <c r="I38" s="50" t="n">
        <v>17</v>
      </c>
    </row>
    <row r="39">
      <c r="A39" s="33" t="inlineStr">
        <is>
          <t>Insurance (General)</t>
        </is>
      </c>
      <c r="B39" s="33" t="n">
        <v>20</v>
      </c>
      <c r="C39" s="49" t="n">
        <v>0.78</v>
      </c>
      <c r="D39" s="53" t="n">
        <v>0.3</v>
      </c>
      <c r="E39" s="53" t="n">
        <v>0.18</v>
      </c>
      <c r="F39" s="53" t="n">
        <v>0.14</v>
      </c>
      <c r="G39" s="53" t="n">
        <v>0.005</v>
      </c>
      <c r="H39" s="53" t="n">
        <v>0.01</v>
      </c>
      <c r="I39" s="50" t="n">
        <v>9.5</v>
      </c>
    </row>
    <row r="40">
      <c r="A40" s="33" t="inlineStr">
        <is>
          <t>Insurance (Life)</t>
        </is>
      </c>
      <c r="B40" s="33" t="n">
        <v>23</v>
      </c>
      <c r="C40" s="49" t="n">
        <v>0.95</v>
      </c>
      <c r="D40" s="53" t="n">
        <v>0.3</v>
      </c>
      <c r="E40" s="53" t="n">
        <v>0.2</v>
      </c>
      <c r="F40" s="53" t="n">
        <v>0.15</v>
      </c>
      <c r="G40" s="53" t="n">
        <v>0.005</v>
      </c>
      <c r="H40" s="53" t="n">
        <v>0.01</v>
      </c>
      <c r="I40" s="50" t="n">
        <v>8</v>
      </c>
    </row>
    <row r="41">
      <c r="A41" s="33" t="inlineStr">
        <is>
          <t>Insurance (Property/Casualty)</t>
        </is>
      </c>
      <c r="B41" s="33" t="n">
        <v>50</v>
      </c>
      <c r="C41" s="49" t="n">
        <v>0.78</v>
      </c>
      <c r="D41" s="53" t="n">
        <v>0.3</v>
      </c>
      <c r="E41" s="53" t="n">
        <v>0.2</v>
      </c>
      <c r="F41" s="53" t="n">
        <v>0.16</v>
      </c>
      <c r="G41" s="53" t="n">
        <v>0.005</v>
      </c>
      <c r="H41" s="53" t="n">
        <v>0.01</v>
      </c>
      <c r="I41" s="50" t="n">
        <v>9.5</v>
      </c>
    </row>
    <row r="42">
      <c r="A42" s="33" t="inlineStr">
        <is>
          <t>Investments &amp; Asset Management</t>
        </is>
      </c>
      <c r="B42" s="33" t="n">
        <v>170</v>
      </c>
      <c r="C42" s="49" t="n">
        <v>1.1</v>
      </c>
      <c r="D42" s="53" t="n">
        <v>0.55</v>
      </c>
      <c r="E42" s="53" t="n">
        <v>0.4</v>
      </c>
      <c r="F42" s="53" t="n">
        <v>0.32</v>
      </c>
      <c r="G42" s="53" t="n">
        <v>0.005</v>
      </c>
      <c r="H42" s="53" t="n">
        <v>0.01</v>
      </c>
      <c r="I42" s="50" t="n">
        <v>12</v>
      </c>
    </row>
    <row r="43">
      <c r="A43" s="33" t="inlineStr">
        <is>
          <t>Machinery</t>
        </is>
      </c>
      <c r="B43" s="33" t="n">
        <v>111</v>
      </c>
      <c r="C43" s="49" t="n">
        <v>1.04</v>
      </c>
      <c r="D43" s="53" t="n">
        <v>0.3</v>
      </c>
      <c r="E43" s="53" t="n">
        <v>0.16</v>
      </c>
      <c r="F43" s="53" t="n">
        <v>0.12</v>
      </c>
      <c r="G43" s="53" t="n">
        <v>0.03</v>
      </c>
      <c r="H43" s="53" t="n">
        <v>0.03</v>
      </c>
      <c r="I43" s="50" t="n">
        <v>12</v>
      </c>
    </row>
    <row r="44">
      <c r="A44" s="33" t="inlineStr">
        <is>
          <t>Metals &amp; Mining</t>
        </is>
      </c>
      <c r="B44" s="33" t="n">
        <v>101</v>
      </c>
      <c r="C44" s="49" t="n">
        <v>1.2</v>
      </c>
      <c r="D44" s="53" t="n">
        <v>0.2</v>
      </c>
      <c r="E44" s="53" t="n">
        <v>0.18</v>
      </c>
      <c r="F44" s="53" t="n">
        <v>0.1</v>
      </c>
      <c r="G44" s="53" t="n">
        <v>0.08</v>
      </c>
      <c r="H44" s="53" t="n">
        <v>0.08</v>
      </c>
      <c r="I44" s="50" t="n">
        <v>7.5</v>
      </c>
    </row>
    <row r="45">
      <c r="A45" s="33" t="inlineStr">
        <is>
          <t>Office Equipment &amp; Services</t>
        </is>
      </c>
      <c r="B45" s="33" t="n">
        <v>17</v>
      </c>
      <c r="C45" s="49" t="n">
        <v>0.92</v>
      </c>
      <c r="D45" s="53" t="n">
        <v>0.35</v>
      </c>
      <c r="E45" s="53" t="n">
        <v>0.16</v>
      </c>
      <c r="F45" s="53" t="n">
        <v>0.1</v>
      </c>
      <c r="G45" s="53" t="n">
        <v>0.03</v>
      </c>
      <c r="H45" s="53" t="n">
        <v>0.04</v>
      </c>
      <c r="I45" s="50" t="n">
        <v>9</v>
      </c>
    </row>
    <row r="46">
      <c r="A46" s="33" t="inlineStr">
        <is>
          <t>Oil/Gas (Integrated)</t>
        </is>
      </c>
      <c r="B46" s="33" t="n">
        <v>4</v>
      </c>
      <c r="C46" s="49" t="n">
        <v>0.92</v>
      </c>
      <c r="D46" s="53" t="n">
        <v>0.3</v>
      </c>
      <c r="E46" s="53" t="n">
        <v>0.18</v>
      </c>
      <c r="F46" s="53" t="n">
        <v>0.13</v>
      </c>
      <c r="G46" s="53" t="n">
        <v>0.08</v>
      </c>
      <c r="H46" s="53" t="n">
        <v>0.08</v>
      </c>
      <c r="I46" s="50" t="n">
        <v>6.5</v>
      </c>
    </row>
    <row r="47">
      <c r="A47" s="33" t="inlineStr">
        <is>
          <t>Oil/Gas (Production/Exploration)</t>
        </is>
      </c>
      <c r="B47" s="33" t="n">
        <v>235</v>
      </c>
      <c r="C47" s="49" t="n">
        <v>1.05</v>
      </c>
      <c r="D47" s="53" t="n">
        <v>0.55</v>
      </c>
      <c r="E47" s="53" t="n">
        <v>0.42</v>
      </c>
      <c r="F47" s="53" t="n">
        <v>0.18</v>
      </c>
      <c r="G47" s="53" t="n">
        <v>0.22</v>
      </c>
      <c r="H47" s="53" t="n">
        <v>0.25</v>
      </c>
      <c r="I47" s="50" t="n">
        <v>5.5</v>
      </c>
    </row>
    <row r="48">
      <c r="A48" s="33" t="inlineStr">
        <is>
          <t>Oilfield Svcs/Equip.</t>
        </is>
      </c>
      <c r="B48" s="33" t="n">
        <v>84</v>
      </c>
      <c r="C48" s="49" t="n">
        <v>1.18</v>
      </c>
      <c r="D48" s="53" t="n">
        <v>0.2</v>
      </c>
      <c r="E48" s="53" t="n">
        <v>0.18</v>
      </c>
      <c r="F48" s="53" t="n">
        <v>0.1</v>
      </c>
      <c r="G48" s="53" t="n">
        <v>0.06</v>
      </c>
      <c r="H48" s="53" t="n">
        <v>0.08</v>
      </c>
      <c r="I48" s="50" t="n">
        <v>8.5</v>
      </c>
    </row>
    <row r="49">
      <c r="A49" s="33" t="inlineStr">
        <is>
          <t>Packaging &amp; Container</t>
        </is>
      </c>
      <c r="B49" s="33" t="n">
        <v>24</v>
      </c>
      <c r="C49" s="49" t="n">
        <v>0.86</v>
      </c>
      <c r="D49" s="53" t="n">
        <v>0.2</v>
      </c>
      <c r="E49" s="53" t="n">
        <v>0.14</v>
      </c>
      <c r="F49" s="53" t="n">
        <v>0.1</v>
      </c>
      <c r="G49" s="53" t="n">
        <v>0.045</v>
      </c>
      <c r="H49" s="53" t="n">
        <v>0.04</v>
      </c>
      <c r="I49" s="50" t="n">
        <v>9.5</v>
      </c>
    </row>
    <row r="50">
      <c r="A50" s="33" t="inlineStr">
        <is>
          <t>Paper/Forest Products</t>
        </is>
      </c>
      <c r="B50" s="33" t="n">
        <v>13</v>
      </c>
      <c r="C50" s="49" t="n">
        <v>0.92</v>
      </c>
      <c r="D50" s="53" t="n">
        <v>0.18</v>
      </c>
      <c r="E50" s="53" t="n">
        <v>0.16</v>
      </c>
      <c r="F50" s="53" t="n">
        <v>0.09</v>
      </c>
      <c r="G50" s="53" t="n">
        <v>0.05</v>
      </c>
      <c r="H50" s="53" t="n">
        <v>0.06</v>
      </c>
      <c r="I50" s="50" t="n">
        <v>8.5</v>
      </c>
    </row>
    <row r="51">
      <c r="A51" s="33" t="inlineStr">
        <is>
          <t>Power</t>
        </is>
      </c>
      <c r="B51" s="33" t="n">
        <v>54</v>
      </c>
      <c r="C51" s="49" t="n">
        <v>0.4</v>
      </c>
      <c r="D51" s="53" t="n">
        <v>0.4</v>
      </c>
      <c r="E51" s="53" t="n">
        <v>0.3</v>
      </c>
      <c r="F51" s="53" t="n">
        <v>0.18</v>
      </c>
      <c r="G51" s="53" t="n">
        <v>0.11</v>
      </c>
      <c r="H51" s="53" t="n">
        <v>0.12</v>
      </c>
      <c r="I51" s="50" t="n">
        <v>12</v>
      </c>
    </row>
    <row r="52">
      <c r="A52" s="33" t="inlineStr">
        <is>
          <t>Precious Metals</t>
        </is>
      </c>
      <c r="B52" s="33" t="n">
        <v>101</v>
      </c>
      <c r="C52" s="49" t="n">
        <v>1.1</v>
      </c>
      <c r="D52" s="53" t="n">
        <v>0.4</v>
      </c>
      <c r="E52" s="53" t="n">
        <v>0.3</v>
      </c>
      <c r="F52" s="53" t="n">
        <v>0.2</v>
      </c>
      <c r="G52" s="53" t="n">
        <v>0.09</v>
      </c>
      <c r="H52" s="53" t="n">
        <v>0.1</v>
      </c>
      <c r="I52" s="50" t="n">
        <v>9</v>
      </c>
    </row>
    <row r="53">
      <c r="A53" s="33" t="inlineStr">
        <is>
          <t>Publishing &amp; Newspapers</t>
        </is>
      </c>
      <c r="B53" s="33" t="n">
        <v>29</v>
      </c>
      <c r="C53" s="49" t="n">
        <v>1</v>
      </c>
      <c r="D53" s="53" t="n">
        <v>0.35</v>
      </c>
      <c r="E53" s="53" t="n">
        <v>0.13</v>
      </c>
      <c r="F53" s="53" t="n">
        <v>0.07000000000000001</v>
      </c>
      <c r="G53" s="53" t="n">
        <v>0.02</v>
      </c>
      <c r="H53" s="53" t="n">
        <v>0.04</v>
      </c>
      <c r="I53" s="50" t="n">
        <v>9.5</v>
      </c>
    </row>
    <row r="54">
      <c r="A54" s="33" t="inlineStr">
        <is>
          <t>R.E.I.T.</t>
        </is>
      </c>
      <c r="B54" s="33" t="n">
        <v>228</v>
      </c>
      <c r="C54" s="49" t="n">
        <v>0.65</v>
      </c>
      <c r="D54" s="53" t="n">
        <v>0.55</v>
      </c>
      <c r="E54" s="53" t="n">
        <v>0.55</v>
      </c>
      <c r="F54" s="53" t="n">
        <v>0.27</v>
      </c>
      <c r="G54" s="53" t="n">
        <v>0.08</v>
      </c>
      <c r="H54" s="53" t="n">
        <v>0.25</v>
      </c>
      <c r="I54" s="50" t="n">
        <v>18</v>
      </c>
    </row>
    <row r="55">
      <c r="A55" s="33" t="inlineStr">
        <is>
          <t>Real Estate (Development)</t>
        </is>
      </c>
      <c r="B55" s="33" t="n">
        <v>22</v>
      </c>
      <c r="C55" s="49" t="n">
        <v>1.05</v>
      </c>
      <c r="D55" s="53" t="n">
        <v>0.3</v>
      </c>
      <c r="E55" s="53" t="n">
        <v>0.2</v>
      </c>
      <c r="F55" s="53" t="n">
        <v>0.15</v>
      </c>
      <c r="G55" s="53" t="n">
        <v>0.005</v>
      </c>
      <c r="H55" s="53" t="n">
        <v>0.01</v>
      </c>
      <c r="I55" s="50" t="n">
        <v>14</v>
      </c>
    </row>
    <row r="56">
      <c r="A56" s="33" t="inlineStr">
        <is>
          <t>Real Estate (Operations &amp; Services)</t>
        </is>
      </c>
      <c r="B56" s="33" t="n">
        <v>58</v>
      </c>
      <c r="C56" s="49" t="n">
        <v>1.05</v>
      </c>
      <c r="D56" s="53" t="n">
        <v>0.4</v>
      </c>
      <c r="E56" s="53" t="n">
        <v>0.22</v>
      </c>
      <c r="F56" s="53" t="n">
        <v>0.13</v>
      </c>
      <c r="G56" s="53" t="n">
        <v>0.02</v>
      </c>
      <c r="H56" s="53" t="n">
        <v>0.04</v>
      </c>
      <c r="I56" s="50" t="n">
        <v>13.5</v>
      </c>
    </row>
    <row r="57">
      <c r="A57" s="33" t="inlineStr">
        <is>
          <t>Recreation</t>
        </is>
      </c>
      <c r="B57" s="33" t="n">
        <v>66</v>
      </c>
      <c r="C57" s="49" t="n">
        <v>1.1</v>
      </c>
      <c r="D57" s="53" t="n">
        <v>0.35</v>
      </c>
      <c r="E57" s="53" t="n">
        <v>0.16</v>
      </c>
      <c r="F57" s="53" t="n">
        <v>0.1</v>
      </c>
      <c r="G57" s="53" t="n">
        <v>0.035</v>
      </c>
      <c r="H57" s="53" t="n">
        <v>0.045</v>
      </c>
      <c r="I57" s="50" t="n">
        <v>11</v>
      </c>
    </row>
    <row r="58">
      <c r="A58" s="33" t="inlineStr">
        <is>
          <t>Reinsurance</t>
        </is>
      </c>
      <c r="B58" s="33" t="n">
        <v>2</v>
      </c>
      <c r="C58" s="49" t="n">
        <v>0.95</v>
      </c>
      <c r="D58" s="53" t="n">
        <v>0.3</v>
      </c>
      <c r="E58" s="53" t="n">
        <v>0.2</v>
      </c>
      <c r="F58" s="53" t="n">
        <v>0.16</v>
      </c>
      <c r="G58" s="53" t="n">
        <v>0.005</v>
      </c>
      <c r="H58" s="53" t="n">
        <v>0.01</v>
      </c>
      <c r="I58" s="50" t="n">
        <v>9</v>
      </c>
    </row>
    <row r="59">
      <c r="A59" s="33" t="inlineStr">
        <is>
          <t>Restaurant/Dining</t>
        </is>
      </c>
      <c r="B59" s="33" t="n">
        <v>82</v>
      </c>
      <c r="C59" s="49" t="n">
        <v>1.04</v>
      </c>
      <c r="D59" s="53" t="n">
        <v>0.32</v>
      </c>
      <c r="E59" s="53" t="n">
        <v>0.16</v>
      </c>
      <c r="F59" s="53" t="n">
        <v>0.1</v>
      </c>
      <c r="G59" s="53" t="n">
        <v>0.045</v>
      </c>
      <c r="H59" s="53" t="n">
        <v>0.045</v>
      </c>
      <c r="I59" s="50" t="n">
        <v>14</v>
      </c>
    </row>
    <row r="60">
      <c r="A60" s="33" t="inlineStr">
        <is>
          <t>Retail (Automotive)</t>
        </is>
      </c>
      <c r="B60" s="33" t="n">
        <v>25</v>
      </c>
      <c r="C60" s="49" t="n">
        <v>1.1</v>
      </c>
      <c r="D60" s="53" t="n">
        <v>0.18</v>
      </c>
      <c r="E60" s="53" t="n">
        <v>0.07000000000000001</v>
      </c>
      <c r="F60" s="53" t="n">
        <v>0.05</v>
      </c>
      <c r="G60" s="53" t="n">
        <v>0.012</v>
      </c>
      <c r="H60" s="53" t="n">
        <v>0.01</v>
      </c>
      <c r="I60" s="50" t="n">
        <v>10</v>
      </c>
    </row>
    <row r="61">
      <c r="A61" s="33" t="inlineStr">
        <is>
          <t>Retail (Building Supply)</t>
        </is>
      </c>
      <c r="B61" s="33" t="n">
        <v>6</v>
      </c>
      <c r="C61" s="49" t="n">
        <v>0.92</v>
      </c>
      <c r="D61" s="53" t="n">
        <v>0.34</v>
      </c>
      <c r="E61" s="53" t="n">
        <v>0.13</v>
      </c>
      <c r="F61" s="53" t="n">
        <v>0.1</v>
      </c>
      <c r="G61" s="53" t="n">
        <v>0.025</v>
      </c>
      <c r="H61" s="53" t="n">
        <v>0.025</v>
      </c>
      <c r="I61" s="50" t="n">
        <v>12</v>
      </c>
    </row>
    <row r="62">
      <c r="A62" s="33" t="inlineStr">
        <is>
          <t>Retail (Distributors)</t>
        </is>
      </c>
      <c r="B62" s="33" t="n">
        <v>77</v>
      </c>
      <c r="C62" s="49" t="n">
        <v>0.9</v>
      </c>
      <c r="D62" s="53" t="n">
        <v>0.2</v>
      </c>
      <c r="E62" s="53" t="n">
        <v>0.1</v>
      </c>
      <c r="F62" s="53" t="n">
        <v>0.07000000000000001</v>
      </c>
      <c r="G62" s="53" t="n">
        <v>0.02</v>
      </c>
      <c r="H62" s="53" t="n">
        <v>0.02</v>
      </c>
      <c r="I62" s="50" t="n">
        <v>10</v>
      </c>
    </row>
    <row r="63">
      <c r="A63" s="33" t="inlineStr">
        <is>
          <t>Retail (General)</t>
        </is>
      </c>
      <c r="B63" s="33" t="n">
        <v>17</v>
      </c>
      <c r="C63" s="49" t="n">
        <v>0.95</v>
      </c>
      <c r="D63" s="53" t="n">
        <v>0.3</v>
      </c>
      <c r="E63" s="53" t="n">
        <v>0.1</v>
      </c>
      <c r="F63" s="53" t="n">
        <v>0.07000000000000001</v>
      </c>
      <c r="G63" s="53" t="n">
        <v>0.02</v>
      </c>
      <c r="H63" s="53" t="n">
        <v>0.02</v>
      </c>
      <c r="I63" s="50" t="n">
        <v>9.5</v>
      </c>
    </row>
    <row r="64">
      <c r="A64" s="33" t="inlineStr">
        <is>
          <t>Retail (Grocery and Food)</t>
        </is>
      </c>
      <c r="B64" s="33" t="n">
        <v>11</v>
      </c>
      <c r="C64" s="49" t="n">
        <v>0.42</v>
      </c>
      <c r="D64" s="53" t="n">
        <v>0.28</v>
      </c>
      <c r="E64" s="53" t="n">
        <v>0.06</v>
      </c>
      <c r="F64" s="53" t="n">
        <v>0.04</v>
      </c>
      <c r="G64" s="53" t="n">
        <v>0.02</v>
      </c>
      <c r="H64" s="53" t="n">
        <v>0.025</v>
      </c>
      <c r="I64" s="50" t="n">
        <v>9</v>
      </c>
    </row>
    <row r="65">
      <c r="A65" s="33" t="inlineStr">
        <is>
          <t>Retail (Online)</t>
        </is>
      </c>
      <c r="B65" s="33" t="n">
        <v>64</v>
      </c>
      <c r="C65" s="49" t="n">
        <v>1.2</v>
      </c>
      <c r="D65" s="53" t="n">
        <v>0.38</v>
      </c>
      <c r="E65" s="53" t="n">
        <v>0.1</v>
      </c>
      <c r="F65" s="53" t="n">
        <v>0.06</v>
      </c>
      <c r="G65" s="53" t="n">
        <v>0.04</v>
      </c>
      <c r="H65" s="53" t="n">
        <v>0.04</v>
      </c>
      <c r="I65" s="50" t="n">
        <v>18.5</v>
      </c>
    </row>
    <row r="66">
      <c r="A66" s="33" t="inlineStr">
        <is>
          <t>Retail (Special Lines)</t>
        </is>
      </c>
      <c r="B66" s="33" t="n">
        <v>92</v>
      </c>
      <c r="C66" s="49" t="n">
        <v>1.04</v>
      </c>
      <c r="D66" s="53" t="n">
        <v>0.32</v>
      </c>
      <c r="E66" s="53" t="n">
        <v>0.1</v>
      </c>
      <c r="F66" s="53" t="n">
        <v>0.07000000000000001</v>
      </c>
      <c r="G66" s="53" t="n">
        <v>0.025</v>
      </c>
      <c r="H66" s="53" t="n">
        <v>0.03</v>
      </c>
      <c r="I66" s="50" t="n">
        <v>10</v>
      </c>
    </row>
    <row r="67">
      <c r="A67" s="33" t="inlineStr">
        <is>
          <t>Rubber &amp; Tires</t>
        </is>
      </c>
      <c r="B67" s="33" t="n">
        <v>4</v>
      </c>
      <c r="C67" s="49" t="n">
        <v>0.92</v>
      </c>
      <c r="D67" s="53" t="n">
        <v>0.2</v>
      </c>
      <c r="E67" s="53" t="n">
        <v>0.13</v>
      </c>
      <c r="F67" s="53" t="n">
        <v>0.07000000000000001</v>
      </c>
      <c r="G67" s="53" t="n">
        <v>0.03</v>
      </c>
      <c r="H67" s="53" t="n">
        <v>0.04</v>
      </c>
      <c r="I67" s="50" t="n">
        <v>8</v>
      </c>
    </row>
    <row r="68">
      <c r="A68" s="33" t="inlineStr">
        <is>
          <t>Semiconductor</t>
        </is>
      </c>
      <c r="B68" s="33" t="n">
        <v>71</v>
      </c>
      <c r="C68" s="49" t="n">
        <v>1.55</v>
      </c>
      <c r="D68" s="53" t="n">
        <v>0.5</v>
      </c>
      <c r="E68" s="53" t="n">
        <v>0.32</v>
      </c>
      <c r="F68" s="53" t="n">
        <v>0.22</v>
      </c>
      <c r="G68" s="53" t="n">
        <v>0.075</v>
      </c>
      <c r="H68" s="53" t="n">
        <v>0.06</v>
      </c>
      <c r="I68" s="50" t="n">
        <v>18</v>
      </c>
    </row>
    <row r="69">
      <c r="A69" s="33" t="inlineStr">
        <is>
          <t>Semiconductor Equip</t>
        </is>
      </c>
      <c r="B69" s="33" t="n">
        <v>37</v>
      </c>
      <c r="C69" s="49" t="n">
        <v>1.45</v>
      </c>
      <c r="D69" s="53" t="n">
        <v>0.45</v>
      </c>
      <c r="E69" s="53" t="n">
        <v>0.3</v>
      </c>
      <c r="F69" s="53" t="n">
        <v>0.22</v>
      </c>
      <c r="G69" s="53" t="n">
        <v>0.04</v>
      </c>
      <c r="H69" s="53" t="n">
        <v>0.04</v>
      </c>
      <c r="I69" s="50" t="n">
        <v>16</v>
      </c>
    </row>
    <row r="70">
      <c r="A70" s="33" t="inlineStr">
        <is>
          <t>Shipbuilding &amp; Marine</t>
        </is>
      </c>
      <c r="B70" s="33" t="n">
        <v>9</v>
      </c>
      <c r="C70" s="49" t="n">
        <v>1.04</v>
      </c>
      <c r="D70" s="53" t="n">
        <v>0.18</v>
      </c>
      <c r="E70" s="53" t="n">
        <v>0.12</v>
      </c>
      <c r="F70" s="53" t="n">
        <v>0.07000000000000001</v>
      </c>
      <c r="G70" s="53" t="n">
        <v>0.04</v>
      </c>
      <c r="H70" s="53" t="n">
        <v>0.04</v>
      </c>
      <c r="I70" s="50" t="n">
        <v>8</v>
      </c>
    </row>
    <row r="71">
      <c r="A71" s="33" t="inlineStr">
        <is>
          <t>Shoe</t>
        </is>
      </c>
      <c r="B71" s="33" t="n">
        <v>11</v>
      </c>
      <c r="C71" s="49" t="n">
        <v>1</v>
      </c>
      <c r="D71" s="53" t="n">
        <v>0.45</v>
      </c>
      <c r="E71" s="53" t="n">
        <v>0.18</v>
      </c>
      <c r="F71" s="53" t="n">
        <v>0.13</v>
      </c>
      <c r="G71" s="53" t="n">
        <v>0.025</v>
      </c>
      <c r="H71" s="53" t="n">
        <v>0.03</v>
      </c>
      <c r="I71" s="50" t="n">
        <v>14</v>
      </c>
    </row>
    <row r="72">
      <c r="A72" s="33" t="inlineStr">
        <is>
          <t>Software (Entertainment)</t>
        </is>
      </c>
      <c r="B72" s="33" t="n">
        <v>75</v>
      </c>
      <c r="C72" s="49" t="n">
        <v>1.3</v>
      </c>
      <c r="D72" s="53" t="n">
        <v>0.65</v>
      </c>
      <c r="E72" s="53" t="n">
        <v>0.25</v>
      </c>
      <c r="F72" s="53" t="n">
        <v>0.18</v>
      </c>
      <c r="G72" s="53" t="n">
        <v>0.03</v>
      </c>
      <c r="H72" s="53" t="n">
        <v>0.06</v>
      </c>
      <c r="I72" s="50" t="n">
        <v>18</v>
      </c>
    </row>
    <row r="73">
      <c r="A73" s="33" t="inlineStr">
        <is>
          <t>Software (Internet)</t>
        </is>
      </c>
      <c r="B73" s="33" t="n">
        <v>245</v>
      </c>
      <c r="C73" s="49" t="n">
        <v>1.3</v>
      </c>
      <c r="D73" s="53" t="n">
        <v>0.7</v>
      </c>
      <c r="E73" s="53" t="n">
        <v>0.16</v>
      </c>
      <c r="F73" s="53" t="n">
        <v>0.07000000000000001</v>
      </c>
      <c r="G73" s="53" t="n">
        <v>0.025</v>
      </c>
      <c r="H73" s="53" t="n">
        <v>0.06</v>
      </c>
      <c r="I73" s="50" t="n">
        <v>22</v>
      </c>
    </row>
    <row r="74">
      <c r="A74" s="33" t="inlineStr">
        <is>
          <t>Software (System &amp; Application)</t>
        </is>
      </c>
      <c r="B74" s="33" t="n">
        <v>367</v>
      </c>
      <c r="C74" s="49" t="n">
        <v>1.2</v>
      </c>
      <c r="D74" s="53" t="n">
        <v>0.72</v>
      </c>
      <c r="E74" s="53" t="n">
        <v>0.3</v>
      </c>
      <c r="F74" s="53" t="n">
        <v>0.22</v>
      </c>
      <c r="G74" s="53" t="n">
        <v>0.02</v>
      </c>
      <c r="H74" s="53" t="n">
        <v>0.06</v>
      </c>
      <c r="I74" s="50" t="n">
        <v>24</v>
      </c>
    </row>
    <row r="75">
      <c r="A75" s="33" t="inlineStr">
        <is>
          <t>Steel</t>
        </is>
      </c>
      <c r="B75" s="33" t="n">
        <v>32</v>
      </c>
      <c r="C75" s="49" t="n">
        <v>1.15</v>
      </c>
      <c r="D75" s="53" t="n">
        <v>0.16</v>
      </c>
      <c r="E75" s="53" t="n">
        <v>0.13</v>
      </c>
      <c r="F75" s="53" t="n">
        <v>0.08</v>
      </c>
      <c r="G75" s="53" t="n">
        <v>0.04</v>
      </c>
      <c r="H75" s="53" t="n">
        <v>0.04</v>
      </c>
      <c r="I75" s="50" t="n">
        <v>7.5</v>
      </c>
    </row>
    <row r="76">
      <c r="A76" s="33" t="inlineStr">
        <is>
          <t>Telecom (Wireless)</t>
        </is>
      </c>
      <c r="B76" s="33" t="n">
        <v>13</v>
      </c>
      <c r="C76" s="49" t="n">
        <v>0.85</v>
      </c>
      <c r="D76" s="53" t="n">
        <v>0.45</v>
      </c>
      <c r="E76" s="53" t="n">
        <v>0.36</v>
      </c>
      <c r="F76" s="53" t="n">
        <v>0.16</v>
      </c>
      <c r="G76" s="53" t="n">
        <v>0.18</v>
      </c>
      <c r="H76" s="53" t="n">
        <v>0.18</v>
      </c>
      <c r="I76" s="50" t="n">
        <v>7.5</v>
      </c>
    </row>
    <row r="77">
      <c r="A77" s="33" t="inlineStr">
        <is>
          <t>Telecom. Equipment</t>
        </is>
      </c>
      <c r="B77" s="33" t="n">
        <v>93</v>
      </c>
      <c r="C77" s="49" t="n">
        <v>1.04</v>
      </c>
      <c r="D77" s="53" t="n">
        <v>0.4</v>
      </c>
      <c r="E77" s="53" t="n">
        <v>0.18</v>
      </c>
      <c r="F77" s="53" t="n">
        <v>0.13</v>
      </c>
      <c r="G77" s="53" t="n">
        <v>0.025</v>
      </c>
      <c r="H77" s="53" t="n">
        <v>0.03</v>
      </c>
      <c r="I77" s="50" t="n">
        <v>11.5</v>
      </c>
    </row>
    <row r="78">
      <c r="A78" s="33" t="inlineStr">
        <is>
          <t>Telecom. Services</t>
        </is>
      </c>
      <c r="B78" s="33" t="n">
        <v>49</v>
      </c>
      <c r="C78" s="49" t="n">
        <v>0.65</v>
      </c>
      <c r="D78" s="53" t="n">
        <v>0.4</v>
      </c>
      <c r="E78" s="53" t="n">
        <v>0.34</v>
      </c>
      <c r="F78" s="53" t="n">
        <v>0.16</v>
      </c>
      <c r="G78" s="53" t="n">
        <v>0.14</v>
      </c>
      <c r="H78" s="53" t="n">
        <v>0.14</v>
      </c>
      <c r="I78" s="50" t="n">
        <v>7.5</v>
      </c>
    </row>
    <row r="79">
      <c r="A79" s="33" t="inlineStr">
        <is>
          <t>Tobacco</t>
        </is>
      </c>
      <c r="B79" s="33" t="n">
        <v>9</v>
      </c>
      <c r="C79" s="49" t="n">
        <v>0.5</v>
      </c>
      <c r="D79" s="53" t="n">
        <v>0.55</v>
      </c>
      <c r="E79" s="53" t="n">
        <v>0.4</v>
      </c>
      <c r="F79" s="53" t="n">
        <v>0.36</v>
      </c>
      <c r="G79" s="53" t="n">
        <v>0.02</v>
      </c>
      <c r="H79" s="53" t="n">
        <v>0.02</v>
      </c>
      <c r="I79" s="50" t="n">
        <v>11</v>
      </c>
    </row>
    <row r="80">
      <c r="A80" s="33" t="inlineStr">
        <is>
          <t>Transportation</t>
        </is>
      </c>
      <c r="B80" s="33" t="n">
        <v>25</v>
      </c>
      <c r="C80" s="49" t="n">
        <v>0.96</v>
      </c>
      <c r="D80" s="53" t="n">
        <v>0.18</v>
      </c>
      <c r="E80" s="53" t="n">
        <v>0.18</v>
      </c>
      <c r="F80" s="53" t="n">
        <v>0.13</v>
      </c>
      <c r="G80" s="53" t="n">
        <v>0.08</v>
      </c>
      <c r="H80" s="53" t="n">
        <v>0.06</v>
      </c>
      <c r="I80" s="50" t="n">
        <v>11</v>
      </c>
    </row>
    <row r="81">
      <c r="A81" s="33" t="inlineStr">
        <is>
          <t>Transportation (Railroads)</t>
        </is>
      </c>
      <c r="B81" s="33" t="n">
        <v>5</v>
      </c>
      <c r="C81" s="49" t="n">
        <v>0.85</v>
      </c>
      <c r="D81" s="53" t="n">
        <v>0.45</v>
      </c>
      <c r="E81" s="53" t="n">
        <v>0.42</v>
      </c>
      <c r="F81" s="53" t="n">
        <v>0.32</v>
      </c>
      <c r="G81" s="53" t="n">
        <v>0.15</v>
      </c>
      <c r="H81" s="53" t="n">
        <v>0.13</v>
      </c>
      <c r="I81" s="50" t="n">
        <v>11.5</v>
      </c>
    </row>
    <row r="82">
      <c r="A82" s="33" t="inlineStr">
        <is>
          <t>Trucking</t>
        </is>
      </c>
      <c r="B82" s="33" t="n">
        <v>36</v>
      </c>
      <c r="C82" s="49" t="n">
        <v>1.05</v>
      </c>
      <c r="D82" s="53" t="n">
        <v>0.13</v>
      </c>
      <c r="E82" s="53" t="n">
        <v>0.18</v>
      </c>
      <c r="F82" s="53" t="n">
        <v>0.1</v>
      </c>
      <c r="G82" s="53" t="n">
        <v>0.05</v>
      </c>
      <c r="H82" s="53" t="n">
        <v>0.06</v>
      </c>
      <c r="I82" s="50" t="n">
        <v>9.5</v>
      </c>
    </row>
    <row r="83">
      <c r="A83" s="33" t="inlineStr">
        <is>
          <t>Utility (General)</t>
        </is>
      </c>
      <c r="B83" s="33" t="n">
        <v>16</v>
      </c>
      <c r="C83" s="49" t="n">
        <v>0.36</v>
      </c>
      <c r="D83" s="53" t="n">
        <v>0.4</v>
      </c>
      <c r="E83" s="53" t="n">
        <v>0.32</v>
      </c>
      <c r="F83" s="53" t="n">
        <v>0.18</v>
      </c>
      <c r="G83" s="53" t="n">
        <v>0.13</v>
      </c>
      <c r="H83" s="53" t="n">
        <v>0.14</v>
      </c>
      <c r="I83" s="50" t="n">
        <v>12</v>
      </c>
    </row>
    <row r="84">
      <c r="A84" s="33" t="inlineStr">
        <is>
          <t>Utility (Water)</t>
        </is>
      </c>
      <c r="B84" s="33" t="n">
        <v>15</v>
      </c>
      <c r="C84" s="49" t="n">
        <v>0.6</v>
      </c>
      <c r="D84" s="53" t="n">
        <v>0.42</v>
      </c>
      <c r="E84" s="53" t="n">
        <v>0.45</v>
      </c>
      <c r="F84" s="53" t="n">
        <v>0.3</v>
      </c>
      <c r="G84" s="53" t="n">
        <v>0.18</v>
      </c>
      <c r="H84" s="53" t="n">
        <v>0.15</v>
      </c>
      <c r="I84" s="50" t="n">
        <v>14</v>
      </c>
    </row>
    <row r="86">
      <c r="A86" s="2" t="inlineStr">
        <is>
          <t>Source: Aswath Damodaran (NYU Stern) US-industry data, mid-2025 approximation. Use unlevered β as starting point; relever to target capital structure on the WACC sheet. EV/EBITDA NTM ranges are observed market trading bands — apply with judgment.</t>
        </is>
      </c>
    </row>
  </sheetData>
  <mergeCells count="3">
    <mergeCell ref="A86:I86"/>
    <mergeCell ref="A2:I2"/>
    <mergeCell ref="A1:H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8" customWidth="1" min="1" max="1"/>
    <col width="4" customWidth="1" min="2" max="2"/>
    <col width="18" customWidth="1" min="3" max="3"/>
    <col width="18" customWidth="1" min="4" max="4"/>
    <col width="30" customWidth="1" min="5" max="5"/>
  </cols>
  <sheetData>
    <row r="1" ht="22" customHeight="1">
      <c r="A1" s="1" t="inlineStr">
        <is>
          <t>Adjustments — EV → Equity bridge</t>
        </is>
      </c>
    </row>
    <row r="2">
      <c r="A2" s="2" t="inlineStr">
        <is>
          <t>Applies surplus assets, net debt, minority interests, then DLOM and DLOC, to derive Fair Value of the client's equity interest. Both scenarios computed side by side.</t>
        </is>
      </c>
    </row>
    <row r="4">
      <c r="A4" s="7" t="inlineStr">
        <is>
          <t>Item</t>
        </is>
      </c>
      <c r="B4" s="7" t="inlineStr"/>
      <c r="C4" s="7" t="inlineStr">
        <is>
          <t>Per Management</t>
        </is>
      </c>
      <c r="D4" s="7" t="inlineStr">
        <is>
          <t>Independent</t>
        </is>
      </c>
      <c r="E4" s="7" t="inlineStr">
        <is>
          <t>Notes</t>
        </is>
      </c>
    </row>
    <row r="6">
      <c r="A6" s="3" t="inlineStr">
        <is>
          <t>EV → Equity bridge</t>
        </is>
      </c>
    </row>
    <row r="7">
      <c r="A7" s="4" t="inlineStr">
        <is>
          <t>Enterprise Value (from DCF)</t>
        </is>
      </c>
      <c r="C7" s="40">
        <f>'DCF'!I27</f>
        <v/>
      </c>
      <c r="D7" s="40">
        <f>'DCF (Independent)'!I27</f>
        <v/>
      </c>
    </row>
    <row r="8">
      <c r="A8" s="4" t="inlineStr">
        <is>
          <t>+ Surplus assets</t>
        </is>
      </c>
      <c r="C8" s="40">
        <f>surplus_assets</f>
        <v/>
      </c>
      <c r="D8" s="40">
        <f>surplus_assets</f>
        <v/>
      </c>
    </row>
    <row r="9">
      <c r="A9" s="4" t="inlineStr">
        <is>
          <t>+ Non-operating assets</t>
        </is>
      </c>
      <c r="C9" s="40">
        <f>non_operating_assets</f>
        <v/>
      </c>
      <c r="D9" s="40">
        <f>non_operating_assets</f>
        <v/>
      </c>
    </row>
    <row r="10">
      <c r="A10" s="4" t="inlineStr">
        <is>
          <t>− Net debt</t>
        </is>
      </c>
      <c r="C10" s="40">
        <f>-IF(ISNUMBER(net_debt_override),net_debt_override,0)</f>
        <v/>
      </c>
      <c r="D10" s="40">
        <f>-IF(ISNUMBER(net_debt_override),net_debt_override,0)</f>
        <v/>
      </c>
    </row>
    <row r="11">
      <c r="A11" s="4" t="inlineStr">
        <is>
          <t>− Minority interests</t>
        </is>
      </c>
      <c r="C11" s="40">
        <f>-minority_interests</f>
        <v/>
      </c>
      <c r="D11" s="40">
        <f>-minority_interests</f>
        <v/>
      </c>
    </row>
    <row r="12">
      <c r="A12" s="43" t="inlineStr">
        <is>
          <t>Equity value (pre-discounts)</t>
        </is>
      </c>
      <c r="C12" s="51">
        <f>C7+C8+C9+C10+C11</f>
        <v/>
      </c>
      <c r="D12" s="51">
        <f>D7+D8+D9+D10+D11</f>
        <v/>
      </c>
    </row>
    <row r="14">
      <c r="A14" s="3" t="inlineStr">
        <is>
          <t>Marketability &amp; control discounts</t>
        </is>
      </c>
    </row>
    <row r="15">
      <c r="A15" s="4" t="inlineStr">
        <is>
          <t>DLOM rate</t>
        </is>
      </c>
      <c r="C15" s="53">
        <f>dlom_pct</f>
        <v/>
      </c>
      <c r="D15" s="53">
        <f>dlom_pct</f>
        <v/>
      </c>
    </row>
    <row r="16">
      <c r="A16" s="4" t="inlineStr">
        <is>
          <t>Less: DLOM</t>
        </is>
      </c>
      <c r="C16" s="40">
        <f>-C12*C15</f>
        <v/>
      </c>
      <c r="D16" s="40">
        <f>-D12*D15</f>
        <v/>
      </c>
    </row>
    <row r="17">
      <c r="A17" s="4" t="inlineStr">
        <is>
          <t>Equity value after DLOM</t>
        </is>
      </c>
      <c r="C17" s="40">
        <f>C12+C16</f>
        <v/>
      </c>
      <c r="D17" s="40">
        <f>D12+D16</f>
        <v/>
      </c>
    </row>
    <row r="18">
      <c r="A18" s="4" t="inlineStr">
        <is>
          <t>DLOC rate</t>
        </is>
      </c>
      <c r="C18" s="53">
        <f>dloc_pct</f>
        <v/>
      </c>
      <c r="D18" s="53">
        <f>dloc_pct</f>
        <v/>
      </c>
    </row>
    <row r="19">
      <c r="A19" s="4" t="inlineStr">
        <is>
          <t>Less: DLOC</t>
        </is>
      </c>
      <c r="C19" s="40">
        <f>-C17*C18</f>
        <v/>
      </c>
      <c r="D19" s="40">
        <f>-D17*D18</f>
        <v/>
      </c>
    </row>
    <row r="20">
      <c r="A20" s="43" t="inlineStr">
        <is>
          <t>Equity value after DLOM and DLOC</t>
        </is>
      </c>
      <c r="C20" s="51">
        <f>C17+C19</f>
        <v/>
      </c>
      <c r="D20" s="51">
        <f>D17+D19</f>
        <v/>
      </c>
    </row>
    <row r="22">
      <c r="A22" s="3" t="inlineStr">
        <is>
          <t>Client's equity interest</t>
        </is>
      </c>
    </row>
    <row r="23">
      <c r="A23" s="4" t="inlineStr">
        <is>
          <t>Equity interest held by client</t>
        </is>
      </c>
      <c r="C23" s="53">
        <f>equity_interest_pct</f>
        <v/>
      </c>
      <c r="D23" s="53">
        <f>equity_interest_pct</f>
        <v/>
      </c>
    </row>
    <row r="24">
      <c r="A24" s="43" t="inlineStr">
        <is>
          <t>Fair value of client's interest</t>
        </is>
      </c>
      <c r="C24" s="51">
        <f>C20*C23</f>
        <v/>
      </c>
      <c r="D24" s="51">
        <f>D20*D23</f>
        <v/>
      </c>
    </row>
  </sheetData>
  <mergeCells count="5">
    <mergeCell ref="A1:H1"/>
    <mergeCell ref="A2:E2"/>
    <mergeCell ref="A14:E14"/>
    <mergeCell ref="A6:E6"/>
    <mergeCell ref="A22:E2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6" customWidth="1" min="1" max="1"/>
    <col width="16"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22" customHeight="1">
      <c r="A1" s="1" t="inlineStr">
        <is>
          <t>Sensitivity — WACC × Terminal growth rate</t>
        </is>
      </c>
    </row>
    <row r="2">
      <c r="A2" s="2" t="inlineStr">
        <is>
          <t>Each cell recomputes EV = Σ FCFF_y / (1+WACC)^y + FCFF_y5 × (1+g) / (WACC−g) / (1+WACC)^5. Step sizes from sens_wacc_step / sens_terminal_g_step on Inputs. Base case is current wacc_per_mgmt × terminal_growth_rate.</t>
        </is>
      </c>
    </row>
    <row r="4">
      <c r="A4" s="3" t="inlineStr">
        <is>
          <t>Sensitivity grid: rows = WACC; columns = Terminal growth rate</t>
        </is>
      </c>
    </row>
    <row r="6">
      <c r="B6" s="67" t="inlineStr">
        <is>
          <t>WACC ↓ / g →</t>
        </is>
      </c>
      <c r="C6" s="68">
        <f>terminal_growth_rate+(-3)*sens_terminal_g_step</f>
        <v/>
      </c>
      <c r="D6" s="68">
        <f>terminal_growth_rate+(-2)*sens_terminal_g_step</f>
        <v/>
      </c>
      <c r="E6" s="68">
        <f>terminal_growth_rate+(-1)*sens_terminal_g_step</f>
        <v/>
      </c>
      <c r="F6" s="68">
        <f>terminal_growth_rate+(0)*sens_terminal_g_step</f>
        <v/>
      </c>
      <c r="G6" s="68">
        <f>terminal_growth_rate+(1)*sens_terminal_g_step</f>
        <v/>
      </c>
      <c r="H6" s="68">
        <f>terminal_growth_rate+(2)*sens_terminal_g_step</f>
        <v/>
      </c>
      <c r="I6" s="68">
        <f>terminal_growth_rate+(3)*sens_terminal_g_step</f>
        <v/>
      </c>
    </row>
    <row r="7">
      <c r="B7" s="68">
        <f>wacc_per_mgmt+(-3)*sens_wacc_step</f>
        <v/>
      </c>
      <c r="C7" s="40">
        <f>IFERROR(Projections!D36/(1+$B$7)^1+Projections!E36/(1+$B$7)^2+Projections!F36/(1+$B$7)^3+Projections!G36/(1+$B$7)^4+Projections!H36/(1+$B$7)^5+Projections!H36*(1+C$6)/($B$7-C$6)/(1+$B$7)^5,"err")</f>
        <v/>
      </c>
      <c r="D7" s="40">
        <f>IFERROR(Projections!D36/(1+$B$7)^1+Projections!E36/(1+$B$7)^2+Projections!F36/(1+$B$7)^3+Projections!G36/(1+$B$7)^4+Projections!H36/(1+$B$7)^5+Projections!H36*(1+D$6)/($B$7-D$6)/(1+$B$7)^5,"err")</f>
        <v/>
      </c>
      <c r="E7" s="40">
        <f>IFERROR(Projections!D36/(1+$B$7)^1+Projections!E36/(1+$B$7)^2+Projections!F36/(1+$B$7)^3+Projections!G36/(1+$B$7)^4+Projections!H36/(1+$B$7)^5+Projections!H36*(1+E$6)/($B$7-E$6)/(1+$B$7)^5,"err")</f>
        <v/>
      </c>
      <c r="F7" s="40">
        <f>IFERROR(Projections!D36/(1+$B$7)^1+Projections!E36/(1+$B$7)^2+Projections!F36/(1+$B$7)^3+Projections!G36/(1+$B$7)^4+Projections!H36/(1+$B$7)^5+Projections!H36*(1+F$6)/($B$7-F$6)/(1+$B$7)^5,"err")</f>
        <v/>
      </c>
      <c r="G7" s="40">
        <f>IFERROR(Projections!D36/(1+$B$7)^1+Projections!E36/(1+$B$7)^2+Projections!F36/(1+$B$7)^3+Projections!G36/(1+$B$7)^4+Projections!H36/(1+$B$7)^5+Projections!H36*(1+G$6)/($B$7-G$6)/(1+$B$7)^5,"err")</f>
        <v/>
      </c>
      <c r="H7" s="40">
        <f>IFERROR(Projections!D36/(1+$B$7)^1+Projections!E36/(1+$B$7)^2+Projections!F36/(1+$B$7)^3+Projections!G36/(1+$B$7)^4+Projections!H36/(1+$B$7)^5+Projections!H36*(1+H$6)/($B$7-H$6)/(1+$B$7)^5,"err")</f>
        <v/>
      </c>
      <c r="I7" s="40">
        <f>IFERROR(Projections!D36/(1+$B$7)^1+Projections!E36/(1+$B$7)^2+Projections!F36/(1+$B$7)^3+Projections!G36/(1+$B$7)^4+Projections!H36/(1+$B$7)^5+Projections!H36*(1+I$6)/($B$7-I$6)/(1+$B$7)^5,"err")</f>
        <v/>
      </c>
    </row>
    <row r="8">
      <c r="B8" s="68">
        <f>wacc_per_mgmt+(-2)*sens_wacc_step</f>
        <v/>
      </c>
      <c r="C8" s="40">
        <f>IFERROR(Projections!D36/(1+$B$8)^1+Projections!E36/(1+$B$8)^2+Projections!F36/(1+$B$8)^3+Projections!G36/(1+$B$8)^4+Projections!H36/(1+$B$8)^5+Projections!H36*(1+C$6)/($B$8-C$6)/(1+$B$8)^5,"err")</f>
        <v/>
      </c>
      <c r="D8" s="40">
        <f>IFERROR(Projections!D36/(1+$B$8)^1+Projections!E36/(1+$B$8)^2+Projections!F36/(1+$B$8)^3+Projections!G36/(1+$B$8)^4+Projections!H36/(1+$B$8)^5+Projections!H36*(1+D$6)/($B$8-D$6)/(1+$B$8)^5,"err")</f>
        <v/>
      </c>
      <c r="E8" s="40">
        <f>IFERROR(Projections!D36/(1+$B$8)^1+Projections!E36/(1+$B$8)^2+Projections!F36/(1+$B$8)^3+Projections!G36/(1+$B$8)^4+Projections!H36/(1+$B$8)^5+Projections!H36*(1+E$6)/($B$8-E$6)/(1+$B$8)^5,"err")</f>
        <v/>
      </c>
      <c r="F8" s="40">
        <f>IFERROR(Projections!D36/(1+$B$8)^1+Projections!E36/(1+$B$8)^2+Projections!F36/(1+$B$8)^3+Projections!G36/(1+$B$8)^4+Projections!H36/(1+$B$8)^5+Projections!H36*(1+F$6)/($B$8-F$6)/(1+$B$8)^5,"err")</f>
        <v/>
      </c>
      <c r="G8" s="40">
        <f>IFERROR(Projections!D36/(1+$B$8)^1+Projections!E36/(1+$B$8)^2+Projections!F36/(1+$B$8)^3+Projections!G36/(1+$B$8)^4+Projections!H36/(1+$B$8)^5+Projections!H36*(1+G$6)/($B$8-G$6)/(1+$B$8)^5,"err")</f>
        <v/>
      </c>
      <c r="H8" s="40">
        <f>IFERROR(Projections!D36/(1+$B$8)^1+Projections!E36/(1+$B$8)^2+Projections!F36/(1+$B$8)^3+Projections!G36/(1+$B$8)^4+Projections!H36/(1+$B$8)^5+Projections!H36*(1+H$6)/($B$8-H$6)/(1+$B$8)^5,"err")</f>
        <v/>
      </c>
      <c r="I8" s="40">
        <f>IFERROR(Projections!D36/(1+$B$8)^1+Projections!E36/(1+$B$8)^2+Projections!F36/(1+$B$8)^3+Projections!G36/(1+$B$8)^4+Projections!H36/(1+$B$8)^5+Projections!H36*(1+I$6)/($B$8-I$6)/(1+$B$8)^5,"err")</f>
        <v/>
      </c>
    </row>
    <row r="9">
      <c r="B9" s="68">
        <f>wacc_per_mgmt+(-1)*sens_wacc_step</f>
        <v/>
      </c>
      <c r="C9" s="40">
        <f>IFERROR(Projections!D36/(1+$B$9)^1+Projections!E36/(1+$B$9)^2+Projections!F36/(1+$B$9)^3+Projections!G36/(1+$B$9)^4+Projections!H36/(1+$B$9)^5+Projections!H36*(1+C$6)/($B$9-C$6)/(1+$B$9)^5,"err")</f>
        <v/>
      </c>
      <c r="D9" s="40">
        <f>IFERROR(Projections!D36/(1+$B$9)^1+Projections!E36/(1+$B$9)^2+Projections!F36/(1+$B$9)^3+Projections!G36/(1+$B$9)^4+Projections!H36/(1+$B$9)^5+Projections!H36*(1+D$6)/($B$9-D$6)/(1+$B$9)^5,"err")</f>
        <v/>
      </c>
      <c r="E9" s="40">
        <f>IFERROR(Projections!D36/(1+$B$9)^1+Projections!E36/(1+$B$9)^2+Projections!F36/(1+$B$9)^3+Projections!G36/(1+$B$9)^4+Projections!H36/(1+$B$9)^5+Projections!H36*(1+E$6)/($B$9-E$6)/(1+$B$9)^5,"err")</f>
        <v/>
      </c>
      <c r="F9" s="40">
        <f>IFERROR(Projections!D36/(1+$B$9)^1+Projections!E36/(1+$B$9)^2+Projections!F36/(1+$B$9)^3+Projections!G36/(1+$B$9)^4+Projections!H36/(1+$B$9)^5+Projections!H36*(1+F$6)/($B$9-F$6)/(1+$B$9)^5,"err")</f>
        <v/>
      </c>
      <c r="G9" s="40">
        <f>IFERROR(Projections!D36/(1+$B$9)^1+Projections!E36/(1+$B$9)^2+Projections!F36/(1+$B$9)^3+Projections!G36/(1+$B$9)^4+Projections!H36/(1+$B$9)^5+Projections!H36*(1+G$6)/($B$9-G$6)/(1+$B$9)^5,"err")</f>
        <v/>
      </c>
      <c r="H9" s="40">
        <f>IFERROR(Projections!D36/(1+$B$9)^1+Projections!E36/(1+$B$9)^2+Projections!F36/(1+$B$9)^3+Projections!G36/(1+$B$9)^4+Projections!H36/(1+$B$9)^5+Projections!H36*(1+H$6)/($B$9-H$6)/(1+$B$9)^5,"err")</f>
        <v/>
      </c>
      <c r="I9" s="40">
        <f>IFERROR(Projections!D36/(1+$B$9)^1+Projections!E36/(1+$B$9)^2+Projections!F36/(1+$B$9)^3+Projections!G36/(1+$B$9)^4+Projections!H36/(1+$B$9)^5+Projections!H36*(1+I$6)/($B$9-I$6)/(1+$B$9)^5,"err")</f>
        <v/>
      </c>
    </row>
    <row r="10">
      <c r="B10" s="68">
        <f>wacc_per_mgmt+(0)*sens_wacc_step</f>
        <v/>
      </c>
      <c r="C10" s="40">
        <f>IFERROR(Projections!D36/(1+$B$10)^1+Projections!E36/(1+$B$10)^2+Projections!F36/(1+$B$10)^3+Projections!G36/(1+$B$10)^4+Projections!H36/(1+$B$10)^5+Projections!H36*(1+C$6)/($B$10-C$6)/(1+$B$10)^5,"err")</f>
        <v/>
      </c>
      <c r="D10" s="40">
        <f>IFERROR(Projections!D36/(1+$B$10)^1+Projections!E36/(1+$B$10)^2+Projections!F36/(1+$B$10)^3+Projections!G36/(1+$B$10)^4+Projections!H36/(1+$B$10)^5+Projections!H36*(1+D$6)/($B$10-D$6)/(1+$B$10)^5,"err")</f>
        <v/>
      </c>
      <c r="E10" s="40">
        <f>IFERROR(Projections!D36/(1+$B$10)^1+Projections!E36/(1+$B$10)^2+Projections!F36/(1+$B$10)^3+Projections!G36/(1+$B$10)^4+Projections!H36/(1+$B$10)^5+Projections!H36*(1+E$6)/($B$10-E$6)/(1+$B$10)^5,"err")</f>
        <v/>
      </c>
      <c r="F10" s="69">
        <f>IFERROR(Projections!D36/(1+$B$10)^1+Projections!E36/(1+$B$10)^2+Projections!F36/(1+$B$10)^3+Projections!G36/(1+$B$10)^4+Projections!H36/(1+$B$10)^5+Projections!H36*(1+F$6)/($B$10-F$6)/(1+$B$10)^5,"err")</f>
        <v/>
      </c>
      <c r="G10" s="40">
        <f>IFERROR(Projections!D36/(1+$B$10)^1+Projections!E36/(1+$B$10)^2+Projections!F36/(1+$B$10)^3+Projections!G36/(1+$B$10)^4+Projections!H36/(1+$B$10)^5+Projections!H36*(1+G$6)/($B$10-G$6)/(1+$B$10)^5,"err")</f>
        <v/>
      </c>
      <c r="H10" s="40">
        <f>IFERROR(Projections!D36/(1+$B$10)^1+Projections!E36/(1+$B$10)^2+Projections!F36/(1+$B$10)^3+Projections!G36/(1+$B$10)^4+Projections!H36/(1+$B$10)^5+Projections!H36*(1+H$6)/($B$10-H$6)/(1+$B$10)^5,"err")</f>
        <v/>
      </c>
      <c r="I10" s="40">
        <f>IFERROR(Projections!D36/(1+$B$10)^1+Projections!E36/(1+$B$10)^2+Projections!F36/(1+$B$10)^3+Projections!G36/(1+$B$10)^4+Projections!H36/(1+$B$10)^5+Projections!H36*(1+I$6)/($B$10-I$6)/(1+$B$10)^5,"err")</f>
        <v/>
      </c>
    </row>
    <row r="11">
      <c r="B11" s="68">
        <f>wacc_per_mgmt+(1)*sens_wacc_step</f>
        <v/>
      </c>
      <c r="C11" s="40">
        <f>IFERROR(Projections!D36/(1+$B$11)^1+Projections!E36/(1+$B$11)^2+Projections!F36/(1+$B$11)^3+Projections!G36/(1+$B$11)^4+Projections!H36/(1+$B$11)^5+Projections!H36*(1+C$6)/($B$11-C$6)/(1+$B$11)^5,"err")</f>
        <v/>
      </c>
      <c r="D11" s="40">
        <f>IFERROR(Projections!D36/(1+$B$11)^1+Projections!E36/(1+$B$11)^2+Projections!F36/(1+$B$11)^3+Projections!G36/(1+$B$11)^4+Projections!H36/(1+$B$11)^5+Projections!H36*(1+D$6)/($B$11-D$6)/(1+$B$11)^5,"err")</f>
        <v/>
      </c>
      <c r="E11" s="40">
        <f>IFERROR(Projections!D36/(1+$B$11)^1+Projections!E36/(1+$B$11)^2+Projections!F36/(1+$B$11)^3+Projections!G36/(1+$B$11)^4+Projections!H36/(1+$B$11)^5+Projections!H36*(1+E$6)/($B$11-E$6)/(1+$B$11)^5,"err")</f>
        <v/>
      </c>
      <c r="F11" s="40">
        <f>IFERROR(Projections!D36/(1+$B$11)^1+Projections!E36/(1+$B$11)^2+Projections!F36/(1+$B$11)^3+Projections!G36/(1+$B$11)^4+Projections!H36/(1+$B$11)^5+Projections!H36*(1+F$6)/($B$11-F$6)/(1+$B$11)^5,"err")</f>
        <v/>
      </c>
      <c r="G11" s="40">
        <f>IFERROR(Projections!D36/(1+$B$11)^1+Projections!E36/(1+$B$11)^2+Projections!F36/(1+$B$11)^3+Projections!G36/(1+$B$11)^4+Projections!H36/(1+$B$11)^5+Projections!H36*(1+G$6)/($B$11-G$6)/(1+$B$11)^5,"err")</f>
        <v/>
      </c>
      <c r="H11" s="40">
        <f>IFERROR(Projections!D36/(1+$B$11)^1+Projections!E36/(1+$B$11)^2+Projections!F36/(1+$B$11)^3+Projections!G36/(1+$B$11)^4+Projections!H36/(1+$B$11)^5+Projections!H36*(1+H$6)/($B$11-H$6)/(1+$B$11)^5,"err")</f>
        <v/>
      </c>
      <c r="I11" s="40">
        <f>IFERROR(Projections!D36/(1+$B$11)^1+Projections!E36/(1+$B$11)^2+Projections!F36/(1+$B$11)^3+Projections!G36/(1+$B$11)^4+Projections!H36/(1+$B$11)^5+Projections!H36*(1+I$6)/($B$11-I$6)/(1+$B$11)^5,"err")</f>
        <v/>
      </c>
    </row>
    <row r="12">
      <c r="B12" s="68">
        <f>wacc_per_mgmt+(2)*sens_wacc_step</f>
        <v/>
      </c>
      <c r="C12" s="40">
        <f>IFERROR(Projections!D36/(1+$B$12)^1+Projections!E36/(1+$B$12)^2+Projections!F36/(1+$B$12)^3+Projections!G36/(1+$B$12)^4+Projections!H36/(1+$B$12)^5+Projections!H36*(1+C$6)/($B$12-C$6)/(1+$B$12)^5,"err")</f>
        <v/>
      </c>
      <c r="D12" s="40">
        <f>IFERROR(Projections!D36/(1+$B$12)^1+Projections!E36/(1+$B$12)^2+Projections!F36/(1+$B$12)^3+Projections!G36/(1+$B$12)^4+Projections!H36/(1+$B$12)^5+Projections!H36*(1+D$6)/($B$12-D$6)/(1+$B$12)^5,"err")</f>
        <v/>
      </c>
      <c r="E12" s="40">
        <f>IFERROR(Projections!D36/(1+$B$12)^1+Projections!E36/(1+$B$12)^2+Projections!F36/(1+$B$12)^3+Projections!G36/(1+$B$12)^4+Projections!H36/(1+$B$12)^5+Projections!H36*(1+E$6)/($B$12-E$6)/(1+$B$12)^5,"err")</f>
        <v/>
      </c>
      <c r="F12" s="40">
        <f>IFERROR(Projections!D36/(1+$B$12)^1+Projections!E36/(1+$B$12)^2+Projections!F36/(1+$B$12)^3+Projections!G36/(1+$B$12)^4+Projections!H36/(1+$B$12)^5+Projections!H36*(1+F$6)/($B$12-F$6)/(1+$B$12)^5,"err")</f>
        <v/>
      </c>
      <c r="G12" s="40">
        <f>IFERROR(Projections!D36/(1+$B$12)^1+Projections!E36/(1+$B$12)^2+Projections!F36/(1+$B$12)^3+Projections!G36/(1+$B$12)^4+Projections!H36/(1+$B$12)^5+Projections!H36*(1+G$6)/($B$12-G$6)/(1+$B$12)^5,"err")</f>
        <v/>
      </c>
      <c r="H12" s="40">
        <f>IFERROR(Projections!D36/(1+$B$12)^1+Projections!E36/(1+$B$12)^2+Projections!F36/(1+$B$12)^3+Projections!G36/(1+$B$12)^4+Projections!H36/(1+$B$12)^5+Projections!H36*(1+H$6)/($B$12-H$6)/(1+$B$12)^5,"err")</f>
        <v/>
      </c>
      <c r="I12" s="40">
        <f>IFERROR(Projections!D36/(1+$B$12)^1+Projections!E36/(1+$B$12)^2+Projections!F36/(1+$B$12)^3+Projections!G36/(1+$B$12)^4+Projections!H36/(1+$B$12)^5+Projections!H36*(1+I$6)/($B$12-I$6)/(1+$B$12)^5,"err")</f>
        <v/>
      </c>
    </row>
    <row r="13">
      <c r="B13" s="68">
        <f>wacc_per_mgmt+(3)*sens_wacc_step</f>
        <v/>
      </c>
      <c r="C13" s="40">
        <f>IFERROR(Projections!D36/(1+$B$13)^1+Projections!E36/(1+$B$13)^2+Projections!F36/(1+$B$13)^3+Projections!G36/(1+$B$13)^4+Projections!H36/(1+$B$13)^5+Projections!H36*(1+C$6)/($B$13-C$6)/(1+$B$13)^5,"err")</f>
        <v/>
      </c>
      <c r="D13" s="40">
        <f>IFERROR(Projections!D36/(1+$B$13)^1+Projections!E36/(1+$B$13)^2+Projections!F36/(1+$B$13)^3+Projections!G36/(1+$B$13)^4+Projections!H36/(1+$B$13)^5+Projections!H36*(1+D$6)/($B$13-D$6)/(1+$B$13)^5,"err")</f>
        <v/>
      </c>
      <c r="E13" s="40">
        <f>IFERROR(Projections!D36/(1+$B$13)^1+Projections!E36/(1+$B$13)^2+Projections!F36/(1+$B$13)^3+Projections!G36/(1+$B$13)^4+Projections!H36/(1+$B$13)^5+Projections!H36*(1+E$6)/($B$13-E$6)/(1+$B$13)^5,"err")</f>
        <v/>
      </c>
      <c r="F13" s="40">
        <f>IFERROR(Projections!D36/(1+$B$13)^1+Projections!E36/(1+$B$13)^2+Projections!F36/(1+$B$13)^3+Projections!G36/(1+$B$13)^4+Projections!H36/(1+$B$13)^5+Projections!H36*(1+F$6)/($B$13-F$6)/(1+$B$13)^5,"err")</f>
        <v/>
      </c>
      <c r="G13" s="40">
        <f>IFERROR(Projections!D36/(1+$B$13)^1+Projections!E36/(1+$B$13)^2+Projections!F36/(1+$B$13)^3+Projections!G36/(1+$B$13)^4+Projections!H36/(1+$B$13)^5+Projections!H36*(1+G$6)/($B$13-G$6)/(1+$B$13)^5,"err")</f>
        <v/>
      </c>
      <c r="H13" s="40">
        <f>IFERROR(Projections!D36/(1+$B$13)^1+Projections!E36/(1+$B$13)^2+Projections!F36/(1+$B$13)^3+Projections!G36/(1+$B$13)^4+Projections!H36/(1+$B$13)^5+Projections!H36*(1+H$6)/($B$13-H$6)/(1+$B$13)^5,"err")</f>
        <v/>
      </c>
      <c r="I13" s="40">
        <f>IFERROR(Projections!D36/(1+$B$13)^1+Projections!E36/(1+$B$13)^2+Projections!F36/(1+$B$13)^3+Projections!G36/(1+$B$13)^4+Projections!H36/(1+$B$13)^5+Projections!H36*(1+I$6)/($B$13-I$6)/(1+$B$13)^5,"err")</f>
        <v/>
      </c>
    </row>
    <row r="15">
      <c r="A15" s="2" t="inlineStr">
        <is>
          <t>Highlighted cell = base case (current wacc_per_mgmt and terminal_growth_rate). EV in (currency × unit). Values do not include the EV→Equity bridge — apply surplus / debt / DLOM / DLOC manually for equity sensitivity.</t>
        </is>
      </c>
    </row>
  </sheetData>
  <mergeCells count="4">
    <mergeCell ref="A15:J15"/>
    <mergeCell ref="A2:J2"/>
    <mergeCell ref="A4:J4"/>
    <mergeCell ref="A1:H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40" customWidth="1" min="1" max="1"/>
    <col width="16" customWidth="1" min="2" max="2"/>
    <col width="18" customWidth="1" min="3" max="3"/>
    <col width="18" customWidth="1" min="4" max="4"/>
    <col width="18" customWidth="1" min="5" max="5"/>
  </cols>
  <sheetData>
    <row r="1" ht="22" customHeight="1">
      <c r="A1" s="1" t="inlineStr">
        <is>
          <t>Valuation Summary</t>
        </is>
      </c>
    </row>
    <row r="2">
      <c r="A2" s="2" t="inlineStr">
        <is>
          <t>Headline outputs across both scenarios. Per-share values convert from (currency × unit) to actual currency using the unit selected on Inputs.</t>
        </is>
      </c>
    </row>
    <row r="4">
      <c r="A4" s="7" t="inlineStr">
        <is>
          <t>Metric</t>
        </is>
      </c>
      <c r="B4" s="7" t="inlineStr">
        <is>
          <t>Unit</t>
        </is>
      </c>
      <c r="C4" s="7" t="inlineStr">
        <is>
          <t>Per Management</t>
        </is>
      </c>
      <c r="D4" s="7" t="inlineStr">
        <is>
          <t>Independent</t>
        </is>
      </c>
      <c r="E4" s="7" t="inlineStr">
        <is>
          <t>Average</t>
        </is>
      </c>
    </row>
    <row r="6">
      <c r="A6" s="3" t="inlineStr">
        <is>
          <t>Headline values</t>
        </is>
      </c>
    </row>
    <row r="7">
      <c r="A7" s="4" t="inlineStr">
        <is>
          <t>Enterprise Value</t>
        </is>
      </c>
      <c r="B7" s="2" t="inlineStr">
        <is>
          <t>(currency × unit)</t>
        </is>
      </c>
      <c r="C7" s="40">
        <f>Adjustments!C7</f>
        <v/>
      </c>
      <c r="D7" s="40">
        <f>Adjustments!D7</f>
        <v/>
      </c>
      <c r="E7" s="40">
        <f>AVERAGE(C7:D7)</f>
        <v/>
      </c>
    </row>
    <row r="8">
      <c r="A8" s="4" t="inlineStr">
        <is>
          <t>Equity value (pre-discounts)</t>
        </is>
      </c>
      <c r="B8" s="2" t="inlineStr">
        <is>
          <t>(currency × unit)</t>
        </is>
      </c>
      <c r="C8" s="40">
        <f>Adjustments!C12</f>
        <v/>
      </c>
      <c r="D8" s="40">
        <f>Adjustments!D12</f>
        <v/>
      </c>
      <c r="E8" s="40">
        <f>AVERAGE(C8:D8)</f>
        <v/>
      </c>
    </row>
    <row r="9">
      <c r="A9" s="4" t="inlineStr">
        <is>
          <t>Equity value after DLOM</t>
        </is>
      </c>
      <c r="B9" s="2" t="inlineStr">
        <is>
          <t>(currency × unit)</t>
        </is>
      </c>
      <c r="C9" s="40">
        <f>Adjustments!C17</f>
        <v/>
      </c>
      <c r="D9" s="40">
        <f>Adjustments!D17</f>
        <v/>
      </c>
      <c r="E9" s="40">
        <f>AVERAGE(C9:D9)</f>
        <v/>
      </c>
    </row>
    <row r="10">
      <c r="A10" s="4" t="inlineStr">
        <is>
          <t>Equity value after DLOM and DLOC</t>
        </is>
      </c>
      <c r="B10" s="2" t="inlineStr">
        <is>
          <t>(currency × unit)</t>
        </is>
      </c>
      <c r="C10" s="40">
        <f>Adjustments!C20</f>
        <v/>
      </c>
      <c r="D10" s="40">
        <f>Adjustments!D20</f>
        <v/>
      </c>
      <c r="E10" s="40">
        <f>AVERAGE(C10:D10)</f>
        <v/>
      </c>
    </row>
    <row r="11">
      <c r="A11" s="43" t="inlineStr">
        <is>
          <t>Fair value of client's interest</t>
        </is>
      </c>
      <c r="B11" s="2" t="inlineStr">
        <is>
          <t>(currency × unit)</t>
        </is>
      </c>
      <c r="C11" s="51">
        <f>Adjustments!C24</f>
        <v/>
      </c>
      <c r="D11" s="51">
        <f>Adjustments!D24</f>
        <v/>
      </c>
      <c r="E11" s="51">
        <f>AVERAGE(C11:D11)</f>
        <v/>
      </c>
    </row>
    <row r="13">
      <c r="A13" s="3" t="inlineStr">
        <is>
          <t>Per-share value</t>
        </is>
      </c>
    </row>
    <row r="14">
      <c r="A14" s="4" t="inlineStr">
        <is>
          <t>Unit multiplier (to actual currency)</t>
        </is>
      </c>
      <c r="B14" s="2" t="inlineStr">
        <is>
          <t>x</t>
        </is>
      </c>
      <c r="C14" s="40">
        <f>IF(EXACT(unit,"'000"),1000,IF(EXACT(unit,"million"),1000000,1))</f>
        <v/>
      </c>
      <c r="D14" s="40">
        <f>IF(EXACT(unit,"'000"),1000,IF(EXACT(unit,"million"),1000000,1))</f>
        <v/>
      </c>
      <c r="E14" s="40" t="inlineStr"/>
    </row>
    <row r="15">
      <c r="A15" s="4" t="inlineStr">
        <is>
          <t>Shares outstanding (basic)</t>
        </is>
      </c>
      <c r="B15" s="2" t="inlineStr">
        <is>
          <t>shares</t>
        </is>
      </c>
      <c r="C15" s="40">
        <f>shares_outstanding</f>
        <v/>
      </c>
      <c r="D15" s="40">
        <f>shares_outstanding</f>
        <v/>
      </c>
      <c r="E15" s="40" t="n"/>
    </row>
    <row r="16">
      <c r="A16" s="43" t="inlineStr">
        <is>
          <t>Equity value per share (basic)</t>
        </is>
      </c>
      <c r="B16" s="2" t="inlineStr">
        <is>
          <t>actual currency</t>
        </is>
      </c>
      <c r="C16" s="70">
        <f>IFERROR(Adjustments!C20*C14/C15,0)</f>
        <v/>
      </c>
      <c r="D16" s="70">
        <f>IFERROR(Adjustments!D20*D14/D15,0)</f>
        <v/>
      </c>
      <c r="E16" s="70">
        <f>AVERAGE(C16:D16)</f>
        <v/>
      </c>
    </row>
    <row r="17">
      <c r="A17" s="4" t="inlineStr">
        <is>
          <t>Shares outstanding (diluted)</t>
        </is>
      </c>
      <c r="B17" s="2" t="inlineStr">
        <is>
          <t>shares</t>
        </is>
      </c>
      <c r="C17" s="40">
        <f>shares_outstanding_diluted</f>
        <v/>
      </c>
      <c r="D17" s="40">
        <f>shares_outstanding_diluted</f>
        <v/>
      </c>
      <c r="E17" s="40" t="n"/>
    </row>
    <row r="18">
      <c r="A18" s="4" t="inlineStr">
        <is>
          <t>Equity value per share (diluted)</t>
        </is>
      </c>
      <c r="B18" s="2" t="inlineStr">
        <is>
          <t>actual currency</t>
        </is>
      </c>
      <c r="C18" s="71">
        <f>IFERROR(Adjustments!C20*C14/C17,0)</f>
        <v/>
      </c>
      <c r="D18" s="71">
        <f>IFERROR(Adjustments!D20*D14/D17,0)</f>
        <v/>
      </c>
      <c r="E18" s="71">
        <f>AVERAGE(C18:D18)</f>
        <v/>
      </c>
    </row>
    <row r="20">
      <c r="A20" s="3" t="inlineStr">
        <is>
          <t>Discount rate inputs (reference)</t>
        </is>
      </c>
    </row>
    <row r="21">
      <c r="A21" s="4" t="inlineStr">
        <is>
          <t>WACC</t>
        </is>
      </c>
      <c r="B21" s="2" t="inlineStr">
        <is>
          <t>%</t>
        </is>
      </c>
      <c r="C21" s="54">
        <f>wacc_per_mgmt</f>
        <v/>
      </c>
      <c r="D21" s="54">
        <f>wacc_indep</f>
        <v/>
      </c>
      <c r="E21" s="54" t="n"/>
    </row>
    <row r="22">
      <c r="A22" s="4" t="inlineStr">
        <is>
          <t>Terminal growth rate</t>
        </is>
      </c>
      <c r="B22" s="2" t="inlineStr">
        <is>
          <t>%</t>
        </is>
      </c>
      <c r="C22" s="54">
        <f>terminal_growth_rate</f>
        <v/>
      </c>
      <c r="D22" s="54">
        <f>terminal_growth_rate</f>
        <v/>
      </c>
      <c r="E22" s="54" t="n"/>
    </row>
  </sheetData>
  <mergeCells count="5">
    <mergeCell ref="A20:E20"/>
    <mergeCell ref="A2:E2"/>
    <mergeCell ref="A13:E13"/>
    <mergeCell ref="A1:H1"/>
    <mergeCell ref="A6:E6"/>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72" t="inlineStr">
        <is>
          <t>report_purpose</t>
        </is>
      </c>
      <c r="B1" s="72" t="inlineStr">
        <is>
          <t>accounting_standard</t>
        </is>
      </c>
      <c r="C1" s="72" t="inlineStr">
        <is>
          <t>tax_type</t>
        </is>
      </c>
      <c r="D1" s="72" t="inlineStr">
        <is>
          <t>terminal_method</t>
        </is>
      </c>
      <c r="E1" s="72" t="inlineStr">
        <is>
          <t>currency</t>
        </is>
      </c>
      <c r="F1" s="72" t="inlineStr">
        <is>
          <t>unit</t>
        </is>
      </c>
      <c r="G1" s="72" t="inlineStr">
        <is>
          <t>coco_tier</t>
        </is>
      </c>
      <c r="H1" s="72" t="inlineStr">
        <is>
          <t>revenue_growth_method</t>
        </is>
      </c>
    </row>
    <row r="2">
      <c r="A2" t="inlineStr">
        <is>
          <t>BEV review</t>
        </is>
      </c>
      <c r="B2" t="inlineStr">
        <is>
          <t>IFRS</t>
        </is>
      </c>
      <c r="C2" t="inlineStr">
        <is>
          <t>flat</t>
        </is>
      </c>
      <c r="D2" t="inlineStr">
        <is>
          <t>gordon_growth</t>
        </is>
      </c>
      <c r="E2" t="inlineStr">
        <is>
          <t>USD</t>
        </is>
      </c>
      <c r="F2" t="inlineStr">
        <is>
          <t>'000</t>
        </is>
      </c>
      <c r="G2" t="inlineStr">
        <is>
          <t>1</t>
        </is>
      </c>
      <c r="H2" t="inlineStr">
        <is>
          <t>flat</t>
        </is>
      </c>
    </row>
    <row r="3">
      <c r="A3" t="inlineStr">
        <is>
          <t>IPO pricing</t>
        </is>
      </c>
      <c r="B3" t="inlineStr">
        <is>
          <t>US GAAP</t>
        </is>
      </c>
      <c r="C3" t="inlineStr">
        <is>
          <t>two_tier</t>
        </is>
      </c>
      <c r="D3" t="inlineStr">
        <is>
          <t>exit_multiple</t>
        </is>
      </c>
      <c r="E3" t="inlineStr">
        <is>
          <t>HKD</t>
        </is>
      </c>
      <c r="F3" t="inlineStr">
        <is>
          <t>million</t>
        </is>
      </c>
      <c r="G3" t="inlineStr">
        <is>
          <t>2</t>
        </is>
      </c>
      <c r="H3" t="inlineStr">
        <is>
          <t>declining</t>
        </is>
      </c>
    </row>
    <row r="4">
      <c r="A4" t="inlineStr">
        <is>
          <t>Fairness opinion</t>
        </is>
      </c>
      <c r="B4" t="inlineStr">
        <is>
          <t>IFRS 9 + IFRS 13</t>
        </is>
      </c>
      <c r="C4" t="inlineStr">
        <is>
          <t>progressive</t>
        </is>
      </c>
      <c r="E4" t="inlineStr">
        <is>
          <t>SGD</t>
        </is>
      </c>
      <c r="F4" t="inlineStr">
        <is>
          <t>actual</t>
        </is>
      </c>
      <c r="G4" t="inlineStr">
        <is>
          <t>3</t>
        </is>
      </c>
      <c r="H4" t="inlineStr">
        <is>
          <t>staged</t>
        </is>
      </c>
    </row>
    <row r="5">
      <c r="A5" t="inlineStr">
        <is>
          <t>M&amp;A</t>
        </is>
      </c>
      <c r="E5" t="inlineStr">
        <is>
          <t>MYR</t>
        </is>
      </c>
      <c r="G5" t="inlineStr">
        <is>
          <t>Excluded</t>
        </is>
      </c>
      <c r="H5" t="inlineStr">
        <is>
          <t>per_year</t>
        </is>
      </c>
    </row>
    <row r="6">
      <c r="A6" t="inlineStr">
        <is>
          <t>Fundraising</t>
        </is>
      </c>
      <c r="E6" t="inlineStr">
        <is>
          <t>CNY</t>
        </is>
      </c>
    </row>
    <row r="7">
      <c r="E7" t="inlineStr">
        <is>
          <t>JPY</t>
        </is>
      </c>
    </row>
    <row r="8">
      <c r="E8" t="inlineStr">
        <is>
          <t>KRW</t>
        </is>
      </c>
    </row>
    <row r="9">
      <c r="E9" t="inlineStr">
        <is>
          <t>EUR</t>
        </is>
      </c>
    </row>
    <row r="10">
      <c r="E10" t="inlineStr">
        <is>
          <t>GBP</t>
        </is>
      </c>
    </row>
    <row r="11">
      <c r="E11" t="inlineStr">
        <is>
          <t>AUD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2026-05-18T03:35:06Z</dcterms:created>
  <dcterms:modified xmlns:dcterms="http://purl.org/dc/terms/" xmlns:xsi="http://www.w3.org/2001/XMLSchema-instance" xsi:type="dcterms:W3CDTF">2026-05-18T03:35:06Z</dcterms:modified>
</cp:coreProperties>
</file>